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renodds\Desktop\Office 2026\.Administrative –   NRFD Front Desk Folder (Internal Use Only)\"/>
    </mc:Choice>
  </mc:AlternateContent>
  <xr:revisionPtr revIDLastSave="0" documentId="13_ncr:1_{A0CCF112-F96B-4568-AA6B-EBA093EB8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5" r:id="rId1"/>
    <sheet name="©" sheetId="6" r:id="rId2"/>
  </sheets>
  <definedNames>
    <definedName name="_xlnm.Print_Area" localSheetId="0">Calendar!$B$6:$AF$35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7" i="5" l="1"/>
  <c r="AE27" i="5"/>
  <c r="AD27" i="5"/>
  <c r="AC27" i="5"/>
  <c r="AB27" i="5"/>
  <c r="AA27" i="5"/>
  <c r="Z27" i="5"/>
  <c r="X27" i="5"/>
  <c r="W27" i="5"/>
  <c r="V27" i="5"/>
  <c r="U27" i="5"/>
  <c r="T27" i="5"/>
  <c r="S27" i="5"/>
  <c r="R27" i="5"/>
  <c r="P27" i="5"/>
  <c r="O27" i="5"/>
  <c r="N27" i="5"/>
  <c r="M27" i="5"/>
  <c r="L27" i="5"/>
  <c r="K27" i="5"/>
  <c r="J27" i="5"/>
  <c r="H27" i="5"/>
  <c r="G27" i="5"/>
  <c r="F27" i="5"/>
  <c r="E27" i="5"/>
  <c r="D27" i="5"/>
  <c r="C27" i="5"/>
  <c r="B27" i="5"/>
  <c r="H18" i="5"/>
  <c r="G18" i="5"/>
  <c r="F18" i="5"/>
  <c r="E18" i="5"/>
  <c r="D18" i="5"/>
  <c r="C18" i="5"/>
  <c r="B18" i="5"/>
  <c r="P18" i="5"/>
  <c r="O18" i="5"/>
  <c r="N18" i="5"/>
  <c r="M18" i="5"/>
  <c r="L18" i="5"/>
  <c r="K18" i="5"/>
  <c r="J18" i="5"/>
  <c r="X18" i="5"/>
  <c r="W18" i="5"/>
  <c r="V18" i="5"/>
  <c r="U18" i="5"/>
  <c r="T18" i="5"/>
  <c r="S18" i="5"/>
  <c r="R18" i="5"/>
  <c r="AF18" i="5"/>
  <c r="AE18" i="5"/>
  <c r="AD18" i="5"/>
  <c r="AC18" i="5"/>
  <c r="AB18" i="5"/>
  <c r="AA18" i="5"/>
  <c r="Z18" i="5"/>
  <c r="AF9" i="5"/>
  <c r="AE9" i="5"/>
  <c r="AD9" i="5"/>
  <c r="AC9" i="5"/>
  <c r="AB9" i="5"/>
  <c r="AA9" i="5"/>
  <c r="Z9" i="5"/>
  <c r="X9" i="5"/>
  <c r="W9" i="5"/>
  <c r="V9" i="5"/>
  <c r="U9" i="5"/>
  <c r="T9" i="5"/>
  <c r="S9" i="5"/>
  <c r="R9" i="5"/>
  <c r="P9" i="5"/>
  <c r="O9" i="5"/>
  <c r="N9" i="5"/>
  <c r="M9" i="5"/>
  <c r="L9" i="5"/>
  <c r="K9" i="5"/>
  <c r="J9" i="5"/>
  <c r="F9" i="5"/>
  <c r="C9" i="5"/>
  <c r="H9" i="5" l="1"/>
  <c r="G9" i="5"/>
  <c r="E9" i="5"/>
  <c r="D9" i="5"/>
  <c r="B9" i="5"/>
  <c r="B8" i="5" l="1"/>
  <c r="J8" i="5" l="1"/>
  <c r="B10" i="5"/>
  <c r="C10" i="5" s="1"/>
  <c r="D10" i="5" s="1"/>
  <c r="E10" i="5" s="1"/>
  <c r="F10" i="5" s="1"/>
  <c r="G10" i="5" s="1"/>
  <c r="H10" i="5" s="1"/>
  <c r="B11" i="5" s="1"/>
  <c r="C11" i="5" s="1"/>
  <c r="D11" i="5" s="1"/>
  <c r="E11" i="5" s="1"/>
  <c r="F11" i="5" s="1"/>
  <c r="G11" i="5" s="1"/>
  <c r="H11" i="5" s="1"/>
  <c r="B12" i="5" s="1"/>
  <c r="C12" i="5" s="1"/>
  <c r="D12" i="5" s="1"/>
  <c r="E12" i="5" s="1"/>
  <c r="F12" i="5" s="1"/>
  <c r="G12" i="5" s="1"/>
  <c r="H12" i="5" s="1"/>
  <c r="B13" i="5" s="1"/>
  <c r="C13" i="5" s="1"/>
  <c r="D13" i="5" s="1"/>
  <c r="E13" i="5" s="1"/>
  <c r="F13" i="5" s="1"/>
  <c r="G13" i="5" s="1"/>
  <c r="H13" i="5" s="1"/>
  <c r="B14" i="5" s="1"/>
  <c r="C14" i="5" s="1"/>
  <c r="D14" i="5" s="1"/>
  <c r="E14" i="5" s="1"/>
  <c r="F14" i="5" s="1"/>
  <c r="G14" i="5" s="1"/>
  <c r="H14" i="5" s="1"/>
  <c r="B15" i="5" s="1"/>
  <c r="C15" i="5" s="1"/>
  <c r="D15" i="5" s="1"/>
  <c r="E15" i="5" s="1"/>
  <c r="F15" i="5" s="1"/>
  <c r="G15" i="5" s="1"/>
  <c r="H15" i="5" s="1"/>
  <c r="B6" i="5"/>
  <c r="R8" i="5" l="1"/>
  <c r="Z8" i="5" s="1"/>
  <c r="B17" i="5" s="1"/>
  <c r="J17" i="5" s="1"/>
  <c r="R17" i="5" s="1"/>
  <c r="Z17" i="5" s="1"/>
  <c r="B26" i="5" s="1"/>
  <c r="J26" i="5" s="1"/>
  <c r="R26" i="5" s="1"/>
  <c r="Z26" i="5" s="1"/>
  <c r="J10" i="5"/>
  <c r="K10" i="5" s="1"/>
  <c r="L10" i="5" s="1"/>
  <c r="M10" i="5" s="1"/>
  <c r="N10" i="5" s="1"/>
  <c r="O10" i="5" s="1"/>
  <c r="P10" i="5" s="1"/>
  <c r="J11" i="5" s="1"/>
  <c r="K11" i="5" s="1"/>
  <c r="L11" i="5" s="1"/>
  <c r="M11" i="5" s="1"/>
  <c r="N11" i="5" s="1"/>
  <c r="O11" i="5" s="1"/>
  <c r="P11" i="5" s="1"/>
  <c r="J12" i="5" s="1"/>
  <c r="K12" i="5" s="1"/>
  <c r="L12" i="5" s="1"/>
  <c r="M12" i="5" s="1"/>
  <c r="N12" i="5" s="1"/>
  <c r="O12" i="5" s="1"/>
  <c r="P12" i="5" s="1"/>
  <c r="J13" i="5" s="1"/>
  <c r="K13" i="5" s="1"/>
  <c r="L13" i="5" s="1"/>
  <c r="M13" i="5" s="1"/>
  <c r="N13" i="5" s="1"/>
  <c r="O13" i="5" s="1"/>
  <c r="P13" i="5" s="1"/>
  <c r="J14" i="5" s="1"/>
  <c r="K14" i="5" s="1"/>
  <c r="L14" i="5" s="1"/>
  <c r="M14" i="5" s="1"/>
  <c r="N14" i="5" s="1"/>
  <c r="O14" i="5" s="1"/>
  <c r="P14" i="5" s="1"/>
  <c r="J15" i="5" s="1"/>
  <c r="K15" i="5" s="1"/>
  <c r="L15" i="5" s="1"/>
  <c r="M15" i="5" s="1"/>
  <c r="N15" i="5" s="1"/>
  <c r="O15" i="5" s="1"/>
  <c r="P15" i="5" s="1"/>
  <c r="R10" i="5" l="1"/>
  <c r="S10" i="5" s="1"/>
  <c r="T10" i="5" s="1"/>
  <c r="U10" i="5" s="1"/>
  <c r="V10" i="5" s="1"/>
  <c r="W10" i="5" s="1"/>
  <c r="X10" i="5" s="1"/>
  <c r="R11" i="5" s="1"/>
  <c r="S11" i="5" s="1"/>
  <c r="T11" i="5" s="1"/>
  <c r="U11" i="5" s="1"/>
  <c r="V11" i="5" s="1"/>
  <c r="W11" i="5" s="1"/>
  <c r="X11" i="5" s="1"/>
  <c r="R12" i="5" s="1"/>
  <c r="S12" i="5" s="1"/>
  <c r="T12" i="5" s="1"/>
  <c r="U12" i="5" s="1"/>
  <c r="V12" i="5" s="1"/>
  <c r="W12" i="5" s="1"/>
  <c r="X12" i="5" s="1"/>
  <c r="R13" i="5" s="1"/>
  <c r="S13" i="5" s="1"/>
  <c r="T13" i="5" s="1"/>
  <c r="U13" i="5" s="1"/>
  <c r="V13" i="5" s="1"/>
  <c r="W13" i="5" s="1"/>
  <c r="X13" i="5" s="1"/>
  <c r="R14" i="5" s="1"/>
  <c r="S14" i="5" s="1"/>
  <c r="T14" i="5" s="1"/>
  <c r="U14" i="5" s="1"/>
  <c r="V14" i="5" s="1"/>
  <c r="W14" i="5" s="1"/>
  <c r="X14" i="5" s="1"/>
  <c r="R15" i="5" s="1"/>
  <c r="S15" i="5" s="1"/>
  <c r="T15" i="5" s="1"/>
  <c r="U15" i="5" s="1"/>
  <c r="V15" i="5" s="1"/>
  <c r="W15" i="5" s="1"/>
  <c r="X15" i="5" s="1"/>
  <c r="Z10" i="5"/>
  <c r="AA10" i="5" s="1"/>
  <c r="AB10" i="5" s="1"/>
  <c r="AC10" i="5" s="1"/>
  <c r="AD10" i="5" s="1"/>
  <c r="AE10" i="5" s="1"/>
  <c r="AF10" i="5" s="1"/>
  <c r="Z11" i="5" s="1"/>
  <c r="AA11" i="5" s="1"/>
  <c r="AB11" i="5" s="1"/>
  <c r="AC11" i="5" s="1"/>
  <c r="AD11" i="5" s="1"/>
  <c r="AE11" i="5" s="1"/>
  <c r="AF11" i="5" s="1"/>
  <c r="Z12" i="5" s="1"/>
  <c r="AA12" i="5" s="1"/>
  <c r="AB12" i="5" s="1"/>
  <c r="AC12" i="5" s="1"/>
  <c r="AD12" i="5" s="1"/>
  <c r="AE12" i="5" s="1"/>
  <c r="AF12" i="5" s="1"/>
  <c r="Z13" i="5" s="1"/>
  <c r="AA13" i="5" s="1"/>
  <c r="AB13" i="5" s="1"/>
  <c r="AC13" i="5" s="1"/>
  <c r="AD13" i="5" s="1"/>
  <c r="AE13" i="5" s="1"/>
  <c r="AF13" i="5" s="1"/>
  <c r="Z14" i="5" s="1"/>
  <c r="AA14" i="5" s="1"/>
  <c r="AB14" i="5" s="1"/>
  <c r="AC14" i="5" s="1"/>
  <c r="AD14" i="5" s="1"/>
  <c r="AE14" i="5" s="1"/>
  <c r="AF14" i="5" s="1"/>
  <c r="Z15" i="5" s="1"/>
  <c r="AA15" i="5" s="1"/>
  <c r="AB15" i="5" s="1"/>
  <c r="AC15" i="5" s="1"/>
  <c r="AD15" i="5" s="1"/>
  <c r="AE15" i="5" s="1"/>
  <c r="AF15" i="5" s="1"/>
  <c r="B19" i="5" l="1"/>
  <c r="C19" i="5" s="1"/>
  <c r="D19" i="5" s="1"/>
  <c r="E19" i="5" s="1"/>
  <c r="F19" i="5" s="1"/>
  <c r="G19" i="5" s="1"/>
  <c r="H19" i="5" s="1"/>
  <c r="B20" i="5" s="1"/>
  <c r="C20" i="5" s="1"/>
  <c r="D20" i="5" s="1"/>
  <c r="E20" i="5" s="1"/>
  <c r="F20" i="5" s="1"/>
  <c r="G20" i="5" s="1"/>
  <c r="H20" i="5" s="1"/>
  <c r="B21" i="5" s="1"/>
  <c r="C21" i="5" s="1"/>
  <c r="D21" i="5" s="1"/>
  <c r="E21" i="5" s="1"/>
  <c r="F21" i="5" s="1"/>
  <c r="G21" i="5" s="1"/>
  <c r="H21" i="5" s="1"/>
  <c r="B22" i="5" s="1"/>
  <c r="C22" i="5" s="1"/>
  <c r="D22" i="5" s="1"/>
  <c r="E22" i="5" s="1"/>
  <c r="F22" i="5" s="1"/>
  <c r="G22" i="5" s="1"/>
  <c r="H22" i="5" s="1"/>
  <c r="B23" i="5" s="1"/>
  <c r="C23" i="5" s="1"/>
  <c r="D23" i="5" s="1"/>
  <c r="E23" i="5" s="1"/>
  <c r="F23" i="5" s="1"/>
  <c r="G23" i="5" s="1"/>
  <c r="H23" i="5" s="1"/>
  <c r="B24" i="5" s="1"/>
  <c r="C24" i="5" s="1"/>
  <c r="D24" i="5" s="1"/>
  <c r="E24" i="5" s="1"/>
  <c r="F24" i="5" s="1"/>
  <c r="G24" i="5" s="1"/>
  <c r="H24" i="5" s="1"/>
  <c r="J19" i="5" l="1"/>
  <c r="K19" i="5" s="1"/>
  <c r="L19" i="5" s="1"/>
  <c r="M19" i="5" s="1"/>
  <c r="N19" i="5" s="1"/>
  <c r="O19" i="5" s="1"/>
  <c r="P19" i="5" s="1"/>
  <c r="J20" i="5" s="1"/>
  <c r="K20" i="5" s="1"/>
  <c r="L20" i="5" s="1"/>
  <c r="M20" i="5" s="1"/>
  <c r="N20" i="5" s="1"/>
  <c r="O20" i="5" s="1"/>
  <c r="P20" i="5" s="1"/>
  <c r="J21" i="5" s="1"/>
  <c r="K21" i="5" s="1"/>
  <c r="L21" i="5" s="1"/>
  <c r="M21" i="5" s="1"/>
  <c r="N21" i="5" s="1"/>
  <c r="O21" i="5" s="1"/>
  <c r="P21" i="5" s="1"/>
  <c r="J22" i="5" s="1"/>
  <c r="K22" i="5" s="1"/>
  <c r="L22" i="5" s="1"/>
  <c r="M22" i="5" s="1"/>
  <c r="N22" i="5" s="1"/>
  <c r="O22" i="5" s="1"/>
  <c r="P22" i="5" s="1"/>
  <c r="J23" i="5" s="1"/>
  <c r="K23" i="5" s="1"/>
  <c r="L23" i="5" s="1"/>
  <c r="M23" i="5" s="1"/>
  <c r="N23" i="5" s="1"/>
  <c r="O23" i="5" s="1"/>
  <c r="P23" i="5" s="1"/>
  <c r="J24" i="5" s="1"/>
  <c r="K24" i="5" s="1"/>
  <c r="L24" i="5" s="1"/>
  <c r="M24" i="5" s="1"/>
  <c r="N24" i="5" s="1"/>
  <c r="O24" i="5" s="1"/>
  <c r="P24" i="5" s="1"/>
  <c r="R19" i="5" l="1"/>
  <c r="S19" i="5" s="1"/>
  <c r="T19" i="5" s="1"/>
  <c r="U19" i="5" s="1"/>
  <c r="V19" i="5" s="1"/>
  <c r="W19" i="5" s="1"/>
  <c r="X19" i="5" s="1"/>
  <c r="R20" i="5" s="1"/>
  <c r="S20" i="5" s="1"/>
  <c r="T20" i="5" s="1"/>
  <c r="U20" i="5" s="1"/>
  <c r="V20" i="5" s="1"/>
  <c r="W20" i="5" s="1"/>
  <c r="X20" i="5" s="1"/>
  <c r="R21" i="5" s="1"/>
  <c r="S21" i="5" s="1"/>
  <c r="T21" i="5" s="1"/>
  <c r="U21" i="5" s="1"/>
  <c r="V21" i="5" s="1"/>
  <c r="W21" i="5" s="1"/>
  <c r="X21" i="5" s="1"/>
  <c r="R22" i="5" s="1"/>
  <c r="S22" i="5" s="1"/>
  <c r="T22" i="5" s="1"/>
  <c r="U22" i="5" s="1"/>
  <c r="V22" i="5" s="1"/>
  <c r="W22" i="5" s="1"/>
  <c r="X22" i="5" s="1"/>
  <c r="R23" i="5" s="1"/>
  <c r="S23" i="5" s="1"/>
  <c r="T23" i="5" s="1"/>
  <c r="U23" i="5" s="1"/>
  <c r="V23" i="5" s="1"/>
  <c r="W23" i="5" s="1"/>
  <c r="X23" i="5" s="1"/>
  <c r="R24" i="5" s="1"/>
  <c r="S24" i="5" s="1"/>
  <c r="T24" i="5" s="1"/>
  <c r="U24" i="5" s="1"/>
  <c r="V24" i="5" s="1"/>
  <c r="W24" i="5" s="1"/>
  <c r="X24" i="5" s="1"/>
  <c r="Z19" i="5" l="1"/>
  <c r="AA19" i="5" s="1"/>
  <c r="AB19" i="5" s="1"/>
  <c r="AC19" i="5" s="1"/>
  <c r="AD19" i="5" s="1"/>
  <c r="AE19" i="5" s="1"/>
  <c r="AF19" i="5" s="1"/>
  <c r="Z20" i="5" s="1"/>
  <c r="AA20" i="5" s="1"/>
  <c r="AB20" i="5" s="1"/>
  <c r="AC20" i="5" s="1"/>
  <c r="AD20" i="5" s="1"/>
  <c r="AE20" i="5" s="1"/>
  <c r="AF20" i="5" s="1"/>
  <c r="Z21" i="5" s="1"/>
  <c r="AA21" i="5" s="1"/>
  <c r="AB21" i="5" s="1"/>
  <c r="AC21" i="5" s="1"/>
  <c r="AD21" i="5" s="1"/>
  <c r="AE21" i="5" s="1"/>
  <c r="AF21" i="5" s="1"/>
  <c r="Z22" i="5" s="1"/>
  <c r="AA22" i="5" s="1"/>
  <c r="AB22" i="5" s="1"/>
  <c r="AC22" i="5" s="1"/>
  <c r="AD22" i="5" s="1"/>
  <c r="AE22" i="5" s="1"/>
  <c r="AF22" i="5" s="1"/>
  <c r="Z23" i="5" s="1"/>
  <c r="AA23" i="5" s="1"/>
  <c r="AB23" i="5" s="1"/>
  <c r="AC23" i="5" s="1"/>
  <c r="AD23" i="5" s="1"/>
  <c r="AE23" i="5" s="1"/>
  <c r="AF23" i="5" s="1"/>
  <c r="Z24" i="5" s="1"/>
  <c r="AA24" i="5" s="1"/>
  <c r="AB24" i="5" s="1"/>
  <c r="AC24" i="5" s="1"/>
  <c r="AD24" i="5" s="1"/>
  <c r="AE24" i="5" s="1"/>
  <c r="AF24" i="5" s="1"/>
  <c r="B28" i="5" l="1"/>
  <c r="C28" i="5" s="1"/>
  <c r="D28" i="5" s="1"/>
  <c r="E28" i="5" s="1"/>
  <c r="F28" i="5" s="1"/>
  <c r="G28" i="5" s="1"/>
  <c r="H28" i="5" s="1"/>
  <c r="B29" i="5" s="1"/>
  <c r="C29" i="5" s="1"/>
  <c r="D29" i="5" s="1"/>
  <c r="E29" i="5" s="1"/>
  <c r="F29" i="5" s="1"/>
  <c r="G29" i="5" s="1"/>
  <c r="H29" i="5" s="1"/>
  <c r="B30" i="5" s="1"/>
  <c r="C30" i="5" s="1"/>
  <c r="D30" i="5" s="1"/>
  <c r="E30" i="5" s="1"/>
  <c r="F30" i="5" s="1"/>
  <c r="G30" i="5" s="1"/>
  <c r="H30" i="5" s="1"/>
  <c r="B31" i="5" s="1"/>
  <c r="C31" i="5" s="1"/>
  <c r="D31" i="5" s="1"/>
  <c r="E31" i="5" s="1"/>
  <c r="F31" i="5" s="1"/>
  <c r="G31" i="5" s="1"/>
  <c r="H31" i="5" s="1"/>
  <c r="B32" i="5" s="1"/>
  <c r="C32" i="5" s="1"/>
  <c r="D32" i="5" s="1"/>
  <c r="E32" i="5" s="1"/>
  <c r="F32" i="5" s="1"/>
  <c r="G32" i="5" s="1"/>
  <c r="H32" i="5" s="1"/>
  <c r="B33" i="5" s="1"/>
  <c r="C33" i="5" s="1"/>
  <c r="D33" i="5" s="1"/>
  <c r="E33" i="5" s="1"/>
  <c r="F33" i="5" s="1"/>
  <c r="G33" i="5" s="1"/>
  <c r="H33" i="5" s="1"/>
  <c r="J28" i="5" l="1"/>
  <c r="K28" i="5" s="1"/>
  <c r="L28" i="5" s="1"/>
  <c r="M28" i="5" s="1"/>
  <c r="N28" i="5" s="1"/>
  <c r="O28" i="5" s="1"/>
  <c r="P28" i="5" s="1"/>
  <c r="J29" i="5" s="1"/>
  <c r="K29" i="5" s="1"/>
  <c r="L29" i="5" s="1"/>
  <c r="M29" i="5" s="1"/>
  <c r="N29" i="5" s="1"/>
  <c r="O29" i="5" s="1"/>
  <c r="P29" i="5" s="1"/>
  <c r="J30" i="5" s="1"/>
  <c r="K30" i="5" s="1"/>
  <c r="L30" i="5" s="1"/>
  <c r="M30" i="5" s="1"/>
  <c r="N30" i="5" s="1"/>
  <c r="O30" i="5" s="1"/>
  <c r="P30" i="5" s="1"/>
  <c r="J31" i="5" s="1"/>
  <c r="K31" i="5" s="1"/>
  <c r="L31" i="5" s="1"/>
  <c r="M31" i="5" s="1"/>
  <c r="N31" i="5" s="1"/>
  <c r="O31" i="5" s="1"/>
  <c r="P31" i="5" s="1"/>
  <c r="J32" i="5" s="1"/>
  <c r="K32" i="5" s="1"/>
  <c r="L32" i="5" s="1"/>
  <c r="M32" i="5" s="1"/>
  <c r="N32" i="5" s="1"/>
  <c r="O32" i="5" s="1"/>
  <c r="P32" i="5" s="1"/>
  <c r="J33" i="5" s="1"/>
  <c r="K33" i="5" s="1"/>
  <c r="L33" i="5" s="1"/>
  <c r="M33" i="5" s="1"/>
  <c r="N33" i="5" s="1"/>
  <c r="O33" i="5" s="1"/>
  <c r="P33" i="5" s="1"/>
  <c r="R28" i="5" l="1"/>
  <c r="S28" i="5" s="1"/>
  <c r="T28" i="5" s="1"/>
  <c r="U28" i="5" s="1"/>
  <c r="V28" i="5" s="1"/>
  <c r="W28" i="5" s="1"/>
  <c r="X28" i="5" s="1"/>
  <c r="R29" i="5" s="1"/>
  <c r="S29" i="5" s="1"/>
  <c r="T29" i="5" s="1"/>
  <c r="U29" i="5" s="1"/>
  <c r="V29" i="5" s="1"/>
  <c r="W29" i="5" s="1"/>
  <c r="X29" i="5" s="1"/>
  <c r="R30" i="5" s="1"/>
  <c r="S30" i="5" s="1"/>
  <c r="T30" i="5" s="1"/>
  <c r="U30" i="5" s="1"/>
  <c r="V30" i="5" s="1"/>
  <c r="W30" i="5" s="1"/>
  <c r="X30" i="5" s="1"/>
  <c r="R31" i="5" s="1"/>
  <c r="S31" i="5" s="1"/>
  <c r="T31" i="5" s="1"/>
  <c r="U31" i="5" s="1"/>
  <c r="V31" i="5" s="1"/>
  <c r="W31" i="5" s="1"/>
  <c r="X31" i="5" s="1"/>
  <c r="R32" i="5" s="1"/>
  <c r="S32" i="5" s="1"/>
  <c r="T32" i="5" s="1"/>
  <c r="U32" i="5" s="1"/>
  <c r="V32" i="5" s="1"/>
  <c r="W32" i="5" s="1"/>
  <c r="X32" i="5" s="1"/>
  <c r="R33" i="5" s="1"/>
  <c r="S33" i="5" s="1"/>
  <c r="T33" i="5" s="1"/>
  <c r="U33" i="5" s="1"/>
  <c r="V33" i="5" s="1"/>
  <c r="W33" i="5" s="1"/>
  <c r="X33" i="5" s="1"/>
  <c r="Z28" i="5" l="1"/>
  <c r="AA28" i="5" s="1"/>
  <c r="AB28" i="5" s="1"/>
  <c r="AC28" i="5" s="1"/>
  <c r="AD28" i="5" s="1"/>
  <c r="AE28" i="5" s="1"/>
  <c r="AF28" i="5" s="1"/>
  <c r="Z29" i="5" s="1"/>
  <c r="AA29" i="5" s="1"/>
  <c r="AB29" i="5" s="1"/>
  <c r="AC29" i="5" s="1"/>
  <c r="AD29" i="5" s="1"/>
  <c r="AE29" i="5" s="1"/>
  <c r="AF29" i="5" s="1"/>
  <c r="Z30" i="5" s="1"/>
  <c r="AA30" i="5" s="1"/>
  <c r="AB30" i="5" s="1"/>
  <c r="AC30" i="5" s="1"/>
  <c r="AD30" i="5" s="1"/>
  <c r="AE30" i="5" s="1"/>
  <c r="AF30" i="5" s="1"/>
  <c r="Z31" i="5" s="1"/>
  <c r="AA31" i="5" s="1"/>
  <c r="AB31" i="5" s="1"/>
  <c r="AC31" i="5" s="1"/>
  <c r="AD31" i="5" s="1"/>
  <c r="AE31" i="5" s="1"/>
  <c r="AF31" i="5" s="1"/>
  <c r="Z32" i="5" s="1"/>
  <c r="AA32" i="5" s="1"/>
  <c r="AB32" i="5" s="1"/>
  <c r="AC32" i="5" s="1"/>
  <c r="AD32" i="5" s="1"/>
  <c r="AE32" i="5" s="1"/>
  <c r="AF32" i="5" s="1"/>
  <c r="Z33" i="5" s="1"/>
  <c r="AA33" i="5" s="1"/>
  <c r="AB33" i="5" s="1"/>
  <c r="AC33" i="5" s="1"/>
  <c r="AD33" i="5" s="1"/>
  <c r="AE33" i="5" s="1"/>
  <c r="AF33" i="5" s="1"/>
</calcChain>
</file>

<file path=xl/sharedStrings.xml><?xml version="1.0" encoding="utf-8"?>
<sst xmlns="http://schemas.openxmlformats.org/spreadsheetml/2006/main" count="29" uniqueCount="26">
  <si>
    <t>Start Day</t>
  </si>
  <si>
    <t>Month:</t>
  </si>
  <si>
    <t>Year:</t>
  </si>
  <si>
    <t>Yearly Calendar Template</t>
  </si>
  <si>
    <t>← Choose the year, start month, and start day</t>
  </si>
  <si>
    <t>Yearly Calendar</t>
  </si>
  <si>
    <t>← Enter a title for your calendar here</t>
  </si>
  <si>
    <r>
      <rPr>
        <b/>
        <sz val="9"/>
        <color theme="4"/>
        <rFont val="Arial"/>
        <family val="2"/>
        <scheme val="minor"/>
      </rPr>
      <t>Converting a Calendar to a PDF</t>
    </r>
    <r>
      <rPr>
        <sz val="9"/>
        <color theme="4"/>
        <rFont val="Arial"/>
        <family val="2"/>
        <scheme val="minor"/>
      </rPr>
      <t>: You can convert the calendar to a PDF by printing to a PDF driver; or, if you have Excel 2010 or later, by saving the file as a PDF. You may share a PDF of the calendar if the attribution notes, copyright notice, and URL remain in the footer.</t>
    </r>
  </si>
  <si>
    <t>1:Sun, 2:Mon</t>
  </si>
  <si>
    <r>
      <rPr>
        <b/>
        <sz val="9"/>
        <color theme="4"/>
        <rFont val="Arial"/>
        <family val="2"/>
        <scheme val="minor"/>
      </rPr>
      <t xml:space="preserve">Choose a new </t>
    </r>
    <r>
      <rPr>
        <b/>
        <sz val="9"/>
        <color theme="5"/>
        <rFont val="Arial"/>
        <family val="2"/>
        <scheme val="minor"/>
      </rPr>
      <t>Color</t>
    </r>
    <r>
      <rPr>
        <b/>
        <sz val="9"/>
        <color theme="4"/>
        <rFont val="Arial"/>
        <family val="2"/>
        <scheme val="minor"/>
      </rPr>
      <t xml:space="preserve"> Scheme</t>
    </r>
    <r>
      <rPr>
        <sz val="9"/>
        <color theme="4"/>
        <rFont val="Arial"/>
        <family val="2"/>
        <scheme val="minor"/>
      </rPr>
      <t>: Go to Page Layout &gt; Colors to change the theme colors, or Page Layout &gt; Fonts to change the theme fonts.</t>
    </r>
  </si>
  <si>
    <t>By Vertex42.com</t>
  </si>
  <si>
    <t>© 2013-2019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</si>
  <si>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</si>
  <si>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</si>
  <si>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</si>
  <si>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</si>
  <si>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</si>
  <si>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</si>
  <si>
    <t>https://www.vertex42.com/ExcelTemplates/yearly-calendar.html</t>
  </si>
  <si>
    <t>{42}</t>
  </si>
  <si>
    <t>More Yearly Calendars</t>
  </si>
  <si>
    <t>Yearly Calendar Template © 2019 Vertex42.com. Free to Print.</t>
  </si>
  <si>
    <t>RELATED TEMPLATES</t>
  </si>
  <si>
    <t>► Monthly Calendar with Holidays</t>
  </si>
  <si>
    <t>► Schedules and Planners</t>
  </si>
  <si>
    <t>► More Calendar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</si>
</sst>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m\ \'yy"/>
  </numFmts>
  <fonts count="27" x14ac:knownFonts="1">
    <font>
      <sz val="10"/>
      <name val="Arial"/>
    </font>
    <font>
      <sz val="10"/>
      <name val="Arial"/>
      <family val="2"/>
      <scheme val="minor"/>
    </font>
    <font>
      <sz val="8"/>
      <name val="Arial"/>
      <family val="2"/>
      <scheme val="minor"/>
    </font>
    <font>
      <i/>
      <sz val="8"/>
      <name val="Arial"/>
      <family val="2"/>
      <scheme val="minor"/>
    </font>
    <font>
      <sz val="9"/>
      <color theme="4"/>
      <name val="Arial"/>
      <family val="2"/>
      <scheme val="minor"/>
    </font>
    <font>
      <b/>
      <sz val="12"/>
      <name val="Arial"/>
      <family val="2"/>
      <scheme val="minor"/>
    </font>
    <font>
      <sz val="10"/>
      <color theme="4"/>
      <name val="Arial"/>
      <family val="2"/>
      <scheme val="minor"/>
    </font>
    <font>
      <b/>
      <sz val="9"/>
      <color theme="4"/>
      <name val="Arial"/>
      <family val="2"/>
      <scheme val="minor"/>
    </font>
    <font>
      <sz val="14"/>
      <name val="Arial"/>
      <family val="2"/>
      <scheme val="minor"/>
    </font>
    <font>
      <sz val="12"/>
      <name val="Arial"/>
      <family val="2"/>
      <scheme val="minor"/>
    </font>
    <font>
      <b/>
      <sz val="36"/>
      <color theme="4" tint="-0.249977111117893"/>
      <name val="Arial"/>
      <family val="2"/>
      <scheme val="major"/>
    </font>
    <font>
      <sz val="12"/>
      <color theme="0"/>
      <name val="Arial"/>
      <family val="1"/>
    </font>
    <font>
      <b/>
      <sz val="14"/>
      <color theme="0"/>
      <name val="Arial"/>
      <family val="1"/>
      <scheme val="major"/>
    </font>
    <font>
      <b/>
      <sz val="12"/>
      <name val="Arial"/>
      <family val="2"/>
    </font>
    <font>
      <b/>
      <sz val="9"/>
      <color theme="5"/>
      <name val="Arial"/>
      <family val="2"/>
      <scheme val="minor"/>
    </font>
    <font>
      <sz val="1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12"/>
      <name val="Arial"/>
      <family val="2"/>
    </font>
    <font>
      <sz val="12"/>
      <color theme="1"/>
      <name val="Arial"/>
      <family val="2"/>
    </font>
    <font>
      <sz val="8"/>
      <color rgb="FFFAFAFA"/>
      <name val="Arial"/>
      <family val="2"/>
      <scheme val="minor"/>
    </font>
    <font>
      <sz val="8"/>
      <color theme="1" tint="0.499984740745262"/>
      <name val="Arial"/>
      <family val="2"/>
    </font>
    <font>
      <b/>
      <sz val="9"/>
      <color theme="1" tint="0.499984740745262"/>
      <name val="Arial"/>
      <family val="2"/>
    </font>
    <font>
      <sz val="24"/>
      <color theme="4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/>
      <right/>
      <top/>
      <bottom style="thin">
        <color rgb="FF3464AB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right"/>
    </xf>
    <xf numFmtId="0" fontId="1" fillId="0" borderId="0" xfId="0" applyFont="1"/>
    <xf numFmtId="0" fontId="1" fillId="2" borderId="0" xfId="0" applyFont="1" applyFill="1" applyAlignment="1">
      <alignment horizontal="right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1" fillId="4" borderId="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0" fontId="20" fillId="6" borderId="0" xfId="1" applyFill="1" applyAlignment="1" applyProtection="1">
      <alignment horizontal="left" wrapText="1"/>
    </xf>
    <xf numFmtId="0" fontId="16" fillId="5" borderId="9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vertical="center"/>
    </xf>
    <xf numFmtId="0" fontId="15" fillId="6" borderId="0" xfId="0" applyFont="1" applyFill="1"/>
    <xf numFmtId="0" fontId="18" fillId="6" borderId="0" xfId="0" applyFont="1" applyFill="1" applyAlignment="1">
      <alignment horizontal="left" wrapText="1" indent="1"/>
    </xf>
    <xf numFmtId="0" fontId="19" fillId="6" borderId="0" xfId="0" applyFont="1" applyFill="1"/>
    <xf numFmtId="0" fontId="18" fillId="6" borderId="0" xfId="0" applyFont="1" applyFill="1"/>
    <xf numFmtId="0" fontId="18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 wrapText="1"/>
    </xf>
    <xf numFmtId="0" fontId="21" fillId="6" borderId="0" xfId="0" applyFont="1" applyFill="1" applyAlignment="1">
      <alignment horizontal="left" wrapText="1"/>
    </xf>
    <xf numFmtId="0" fontId="18" fillId="6" borderId="0" xfId="0" applyFont="1" applyFill="1" applyAlignment="1">
      <alignment horizontal="left"/>
    </xf>
    <xf numFmtId="0" fontId="22" fillId="6" borderId="0" xfId="0" applyFont="1" applyFill="1" applyAlignment="1">
      <alignment horizontal="left" wrapText="1"/>
    </xf>
    <xf numFmtId="0" fontId="15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1" applyFont="1" applyAlignment="1" applyProtection="1"/>
    <xf numFmtId="0" fontId="24" fillId="0" borderId="0" xfId="0" applyFont="1" applyAlignment="1">
      <alignment horizontal="right"/>
    </xf>
    <xf numFmtId="0" fontId="25" fillId="0" borderId="0" xfId="0" applyFont="1" applyAlignment="1">
      <alignment vertical="center"/>
    </xf>
    <xf numFmtId="0" fontId="20" fillId="0" borderId="0" xfId="1" applyAlignment="1" applyProtection="1">
      <alignment vertical="center"/>
    </xf>
    <xf numFmtId="165" fontId="12" fillId="3" borderId="4" xfId="0" applyNumberFormat="1" applyFont="1" applyFill="1" applyBorder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5" fontId="12" fillId="3" borderId="5" xfId="0" applyNumberFormat="1" applyFont="1" applyFill="1" applyBorder="1" applyAlignment="1">
      <alignment horizontal="center" vertical="center"/>
    </xf>
    <xf numFmtId="0" fontId="20" fillId="2" borderId="0" xfId="1" applyFill="1" applyAlignment="1" applyProtection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 customBuiltin="1"/>
    <cellStyle name="Normal" xfId="0" builtinId="0"/>
  </cellStyles>
  <dxfs count="3">
    <dxf>
      <font>
        <color theme="4" tint="-0.24994659260841701"/>
      </font>
    </dxf>
    <dxf>
      <fill>
        <patternFill>
          <bgColor theme="4" tint="0.79998168889431442"/>
        </patternFill>
      </fill>
    </dxf>
    <dxf>
      <numFmt numFmtId="166" formatCode="mm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yearly-calendar&amp;utm_campaign=templates&amp;utm_content=logo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19050</xdr:rowOff>
    </xdr:from>
    <xdr:to>
      <xdr:col>32</xdr:col>
      <xdr:colOff>9525</xdr:colOff>
      <xdr:row>1</xdr:row>
      <xdr:rowOff>91288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19050"/>
          <a:ext cx="1343025" cy="300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72F42-4A05-42A6-896C-401A6ADD1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42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vertex42.com/ExcelTemplates/yearly-calendar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calendars/yearly-calendar.html?utm_source=yearly-calendar&amp;utm_campaign=templates&amp;utm_content=more" TargetMode="External"/><Relationship Id="rId1" Type="http://schemas.openxmlformats.org/officeDocument/2006/relationships/hyperlink" Target="http://www.vertex42.com/calendars/yearly-calendar.html" TargetMode="External"/><Relationship Id="rId6" Type="http://schemas.openxmlformats.org/officeDocument/2006/relationships/hyperlink" Target="https://www.vertex42.com/calendars/?utm_source=yearly-calendar&amp;utm_campaign=templates&amp;utm_content=related-more" TargetMode="External"/><Relationship Id="rId5" Type="http://schemas.openxmlformats.org/officeDocument/2006/relationships/hyperlink" Target="https://www.vertex42.com/ExcelTemplates/schedules.html?utm_source=yearly-calendar&amp;utm_campaign=templates&amp;utm_content=related-schedules" TargetMode="External"/><Relationship Id="rId4" Type="http://schemas.openxmlformats.org/officeDocument/2006/relationships/hyperlink" Target="https://www.vertex42.com/calendars/calendar-with-holidays.html?utm_source=yearly-calendar&amp;utm_campaign=templates&amp;utm_content=related-monthl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ExcelTemplates/yearly-calendar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2.png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2"/>
  <sheetViews>
    <sheetView showGridLines="0" tabSelected="1" workbookViewId="0">
      <selection activeCell="B6" sqref="B6:P6"/>
    </sheetView>
  </sheetViews>
  <sheetFormatPr defaultRowHeight="12.75" x14ac:dyDescent="0.2"/>
  <cols>
    <col min="1" max="1" width="3.140625" style="5" customWidth="1"/>
    <col min="2" max="32" width="4" style="5" customWidth="1"/>
    <col min="33" max="33" width="3.140625" style="5" customWidth="1"/>
    <col min="34" max="34" width="3.85546875" style="5" customWidth="1"/>
    <col min="35" max="35" width="31" style="5" customWidth="1"/>
    <col min="36" max="16384" width="9.140625" style="5"/>
  </cols>
  <sheetData>
    <row r="1" spans="1:35" ht="18" customHeight="1" x14ac:dyDescent="0.25">
      <c r="A1" s="3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0" t="s">
        <v>20</v>
      </c>
      <c r="S1" s="40"/>
      <c r="T1" s="40"/>
      <c r="U1" s="40"/>
      <c r="V1" s="40"/>
      <c r="W1" s="40"/>
      <c r="X1" s="40"/>
      <c r="Y1" s="1"/>
      <c r="Z1" s="1"/>
      <c r="AA1" s="1"/>
      <c r="AB1" s="1"/>
      <c r="AC1" s="1"/>
      <c r="AD1" s="1"/>
      <c r="AE1" s="1"/>
      <c r="AF1" s="1"/>
      <c r="AG1" s="1"/>
    </row>
    <row r="2" spans="1:35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5" ht="13.5" customHeight="1" x14ac:dyDescent="0.2">
      <c r="A3" s="1"/>
      <c r="B3" s="1"/>
      <c r="C3" s="6" t="s">
        <v>2</v>
      </c>
      <c r="D3" s="41">
        <v>2025</v>
      </c>
      <c r="E3" s="42"/>
      <c r="F3" s="43"/>
      <c r="G3" s="1"/>
      <c r="H3" s="1"/>
      <c r="I3" s="6" t="s">
        <v>1</v>
      </c>
      <c r="J3" s="41">
        <v>1</v>
      </c>
      <c r="K3" s="42"/>
      <c r="L3" s="43"/>
      <c r="M3" s="1"/>
      <c r="N3" s="1"/>
      <c r="O3" s="1"/>
      <c r="P3" s="1"/>
      <c r="Q3" s="4" t="s">
        <v>0</v>
      </c>
      <c r="R3" s="41">
        <v>1</v>
      </c>
      <c r="S3" s="43"/>
      <c r="T3" s="2" t="s">
        <v>8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11</v>
      </c>
      <c r="AG3" s="1"/>
      <c r="AI3" s="9" t="s">
        <v>4</v>
      </c>
    </row>
    <row r="4" spans="1:35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ht="13.5" customHeight="1" x14ac:dyDescent="0.2"/>
    <row r="6" spans="1:35" ht="45" customHeight="1" x14ac:dyDescent="0.2">
      <c r="B6" s="44">
        <f>IF($J$3=1,D3,D3&amp;"-"&amp;D3+1)</f>
        <v>2025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8"/>
      <c r="R6" s="45" t="s">
        <v>5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8"/>
      <c r="AI6" s="7" t="s">
        <v>6</v>
      </c>
    </row>
    <row r="7" spans="1:35" ht="15.75" customHeight="1" x14ac:dyDescent="0.2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5" s="10" customFormat="1" ht="22.5" customHeight="1" x14ac:dyDescent="0.25">
      <c r="B8" s="37">
        <f>DATE(D3,J3,1)</f>
        <v>45658</v>
      </c>
      <c r="C8" s="38"/>
      <c r="D8" s="38"/>
      <c r="E8" s="38"/>
      <c r="F8" s="38"/>
      <c r="G8" s="38"/>
      <c r="H8" s="39"/>
      <c r="I8" s="11"/>
      <c r="J8" s="37">
        <f>DATE(YEAR(B8+42),MONTH(B8+42),1)</f>
        <v>45689</v>
      </c>
      <c r="K8" s="38"/>
      <c r="L8" s="38"/>
      <c r="M8" s="38"/>
      <c r="N8" s="38"/>
      <c r="O8" s="38"/>
      <c r="P8" s="39"/>
      <c r="Q8" s="11"/>
      <c r="R8" s="37">
        <f>DATE(YEAR(J8+42),MONTH(J8+42),1)</f>
        <v>45717</v>
      </c>
      <c r="S8" s="38"/>
      <c r="T8" s="38"/>
      <c r="U8" s="38"/>
      <c r="V8" s="38"/>
      <c r="W8" s="38"/>
      <c r="X8" s="39"/>
      <c r="Y8" s="11"/>
      <c r="Z8" s="37">
        <f>DATE(YEAR(R8+42),MONTH(R8+42),1)</f>
        <v>45748</v>
      </c>
      <c r="AA8" s="38"/>
      <c r="AB8" s="38"/>
      <c r="AC8" s="38"/>
      <c r="AD8" s="38"/>
      <c r="AE8" s="38"/>
      <c r="AF8" s="39"/>
      <c r="AG8" s="11"/>
      <c r="AI8" s="5"/>
    </row>
    <row r="9" spans="1:35" s="12" customFormat="1" ht="18" customHeight="1" x14ac:dyDescent="0.2">
      <c r="B9" s="14" t="str">
        <f>CHOOSE(1+MOD($R$3+1-2,7),"Su","M","Tu","W","Th","F","Sa")</f>
        <v>Su</v>
      </c>
      <c r="C9" s="15" t="str">
        <f>CHOOSE(1+MOD($R$3+2-2,7),"Su","M","Tu","W","Th","F","Sa")</f>
        <v>M</v>
      </c>
      <c r="D9" s="15" t="str">
        <f>CHOOSE(1+MOD($R$3+3-2,7),"Su","M","Tu","W","Th","F","Sa")</f>
        <v>Tu</v>
      </c>
      <c r="E9" s="15" t="str">
        <f>CHOOSE(1+MOD($R$3+4-2,7),"Su","M","Tu","W","Th","F","Sa")</f>
        <v>W</v>
      </c>
      <c r="F9" s="15" t="str">
        <f>CHOOSE(1+MOD($R$3+5-2,7),"Su","M","Tu","W","Th","F","Sa")</f>
        <v>Th</v>
      </c>
      <c r="G9" s="15" t="str">
        <f>CHOOSE(1+MOD($R$3+6-2,7),"Su","M","Tu","W","Th","F","Sa")</f>
        <v>F</v>
      </c>
      <c r="H9" s="16" t="str">
        <f>CHOOSE(1+MOD($R$3+7-2,7),"Su","M","Tu","W","Th","F","Sa")</f>
        <v>Sa</v>
      </c>
      <c r="J9" s="14" t="str">
        <f>CHOOSE(1+MOD($R$3+1-2,7),"Su","M","Tu","W","Th","F","Sa")</f>
        <v>Su</v>
      </c>
      <c r="K9" s="15" t="str">
        <f>CHOOSE(1+MOD($R$3+2-2,7),"Su","M","Tu","W","Th","F","Sa")</f>
        <v>M</v>
      </c>
      <c r="L9" s="15" t="str">
        <f>CHOOSE(1+MOD($R$3+3-2,7),"Su","M","Tu","W","Th","F","Sa")</f>
        <v>Tu</v>
      </c>
      <c r="M9" s="15" t="str">
        <f>CHOOSE(1+MOD($R$3+4-2,7),"Su","M","Tu","W","Th","F","Sa")</f>
        <v>W</v>
      </c>
      <c r="N9" s="15" t="str">
        <f>CHOOSE(1+MOD($R$3+5-2,7),"Su","M","Tu","W","Th","F","Sa")</f>
        <v>Th</v>
      </c>
      <c r="O9" s="15" t="str">
        <f>CHOOSE(1+MOD($R$3+6-2,7),"Su","M","Tu","W","Th","F","Sa")</f>
        <v>F</v>
      </c>
      <c r="P9" s="16" t="str">
        <f>CHOOSE(1+MOD($R$3+7-2,7),"Su","M","Tu","W","Th","F","Sa")</f>
        <v>Sa</v>
      </c>
      <c r="R9" s="14" t="str">
        <f>CHOOSE(1+MOD($R$3+1-2,7),"Su","M","Tu","W","Th","F","Sa")</f>
        <v>Su</v>
      </c>
      <c r="S9" s="15" t="str">
        <f>CHOOSE(1+MOD($R$3+2-2,7),"Su","M","Tu","W","Th","F","Sa")</f>
        <v>M</v>
      </c>
      <c r="T9" s="15" t="str">
        <f>CHOOSE(1+MOD($R$3+3-2,7),"Su","M","Tu","W","Th","F","Sa")</f>
        <v>Tu</v>
      </c>
      <c r="U9" s="15" t="str">
        <f>CHOOSE(1+MOD($R$3+4-2,7),"Su","M","Tu","W","Th","F","Sa")</f>
        <v>W</v>
      </c>
      <c r="V9" s="15" t="str">
        <f>CHOOSE(1+MOD($R$3+5-2,7),"Su","M","Tu","W","Th","F","Sa")</f>
        <v>Th</v>
      </c>
      <c r="W9" s="15" t="str">
        <f>CHOOSE(1+MOD($R$3+6-2,7),"Su","M","Tu","W","Th","F","Sa")</f>
        <v>F</v>
      </c>
      <c r="X9" s="16" t="str">
        <f>CHOOSE(1+MOD($R$3+7-2,7),"Su","M","Tu","W","Th","F","Sa")</f>
        <v>Sa</v>
      </c>
      <c r="Z9" s="14" t="str">
        <f>CHOOSE(1+MOD($R$3+1-2,7),"Su","M","Tu","W","Th","F","Sa")</f>
        <v>Su</v>
      </c>
      <c r="AA9" s="15" t="str">
        <f>CHOOSE(1+MOD($R$3+2-2,7),"Su","M","Tu","W","Th","F","Sa")</f>
        <v>M</v>
      </c>
      <c r="AB9" s="15" t="str">
        <f>CHOOSE(1+MOD($R$3+3-2,7),"Su","M","Tu","W","Th","F","Sa")</f>
        <v>Tu</v>
      </c>
      <c r="AC9" s="15" t="str">
        <f>CHOOSE(1+MOD($R$3+4-2,7),"Su","M","Tu","W","Th","F","Sa")</f>
        <v>W</v>
      </c>
      <c r="AD9" s="15" t="str">
        <f>CHOOSE(1+MOD($R$3+5-2,7),"Su","M","Tu","W","Th","F","Sa")</f>
        <v>Th</v>
      </c>
      <c r="AE9" s="15" t="str">
        <f>CHOOSE(1+MOD($R$3+6-2,7),"Su","M","Tu","W","Th","F","Sa")</f>
        <v>F</v>
      </c>
      <c r="AF9" s="16" t="str">
        <f>CHOOSE(1+MOD($R$3+7-2,7),"Su","M","Tu","W","Th","F","Sa")</f>
        <v>Sa</v>
      </c>
      <c r="AI9" s="46" t="s">
        <v>9</v>
      </c>
    </row>
    <row r="10" spans="1:35" s="13" customFormat="1" ht="18" customHeight="1" x14ac:dyDescent="0.2">
      <c r="B10" s="17" t="str">
        <f>IF(WEEKDAY(B8,1)=$R$3,B8,"")</f>
        <v/>
      </c>
      <c r="C10" s="17" t="str">
        <f>IF(B10="",IF(WEEKDAY(B8,1)=MOD($R$3,7)+1,B8,""),B10+1)</f>
        <v/>
      </c>
      <c r="D10" s="17" t="str">
        <f>IF(C10="",IF(WEEKDAY(B8,1)=MOD($R$3+1,7)+1,B8,""),C10+1)</f>
        <v/>
      </c>
      <c r="E10" s="17">
        <f>IF(D10="",IF(WEEKDAY(B8,1)=MOD($R$3+2,7)+1,B8,""),D10+1)</f>
        <v>45658</v>
      </c>
      <c r="F10" s="17">
        <f>IF(E10="",IF(WEEKDAY(B8,1)=MOD($R$3+3,7)+1,B8,""),E10+1)</f>
        <v>45659</v>
      </c>
      <c r="G10" s="17">
        <f>IF(F10="",IF(WEEKDAY(B8,1)=MOD($R$3+4,7)+1,B8,""),F10+1)</f>
        <v>45660</v>
      </c>
      <c r="H10" s="17">
        <f>IF(G10="",IF(WEEKDAY(B8,1)=MOD($R$3+5,7)+1,B8,""),G10+1)</f>
        <v>45661</v>
      </c>
      <c r="I10" s="12"/>
      <c r="J10" s="17" t="str">
        <f>IF(WEEKDAY(J8,1)=$R$3,J8,"")</f>
        <v/>
      </c>
      <c r="K10" s="17" t="str">
        <f>IF(J10="",IF(WEEKDAY(J8,1)=MOD($R$3,7)+1,J8,""),J10+1)</f>
        <v/>
      </c>
      <c r="L10" s="17" t="str">
        <f>IF(K10="",IF(WEEKDAY(J8,1)=MOD($R$3+1,7)+1,J8,""),K10+1)</f>
        <v/>
      </c>
      <c r="M10" s="17" t="str">
        <f>IF(L10="",IF(WEEKDAY(J8,1)=MOD($R$3+2,7)+1,J8,""),L10+1)</f>
        <v/>
      </c>
      <c r="N10" s="17" t="str">
        <f>IF(M10="",IF(WEEKDAY(J8,1)=MOD($R$3+3,7)+1,J8,""),M10+1)</f>
        <v/>
      </c>
      <c r="O10" s="17" t="str">
        <f>IF(N10="",IF(WEEKDAY(J8,1)=MOD($R$3+4,7)+1,J8,""),N10+1)</f>
        <v/>
      </c>
      <c r="P10" s="17">
        <f>IF(O10="",IF(WEEKDAY(J8,1)=MOD($R$3+5,7)+1,J8,""),O10+1)</f>
        <v>45689</v>
      </c>
      <c r="Q10" s="12"/>
      <c r="R10" s="17" t="str">
        <f>IF(WEEKDAY(R8,1)=$R$3,R8,"")</f>
        <v/>
      </c>
      <c r="S10" s="17" t="str">
        <f>IF(R10="",IF(WEEKDAY(R8,1)=MOD($R$3,7)+1,R8,""),R10+1)</f>
        <v/>
      </c>
      <c r="T10" s="17" t="str">
        <f>IF(S10="",IF(WEEKDAY(R8,1)=MOD($R$3+1,7)+1,R8,""),S10+1)</f>
        <v/>
      </c>
      <c r="U10" s="17" t="str">
        <f>IF(T10="",IF(WEEKDAY(R8,1)=MOD($R$3+2,7)+1,R8,""),T10+1)</f>
        <v/>
      </c>
      <c r="V10" s="17" t="str">
        <f>IF(U10="",IF(WEEKDAY(R8,1)=MOD($R$3+3,7)+1,R8,""),U10+1)</f>
        <v/>
      </c>
      <c r="W10" s="17" t="str">
        <f>IF(V10="",IF(WEEKDAY(R8,1)=MOD($R$3+4,7)+1,R8,""),V10+1)</f>
        <v/>
      </c>
      <c r="X10" s="17">
        <f>IF(W10="",IF(WEEKDAY(R8,1)=MOD($R$3+5,7)+1,R8,""),W10+1)</f>
        <v>45717</v>
      </c>
      <c r="Y10" s="12"/>
      <c r="Z10" s="17" t="str">
        <f>IF(WEEKDAY(Z8,1)=$R$3,Z8,"")</f>
        <v/>
      </c>
      <c r="AA10" s="17" t="str">
        <f>IF(Z10="",IF(WEEKDAY(Z8,1)=MOD($R$3,7)+1,Z8,""),Z10+1)</f>
        <v/>
      </c>
      <c r="AB10" s="17">
        <f>IF(AA10="",IF(WEEKDAY(Z8,1)=MOD($R$3+1,7)+1,Z8,""),AA10+1)</f>
        <v>45748</v>
      </c>
      <c r="AC10" s="17">
        <f>IF(AB10="",IF(WEEKDAY(Z8,1)=MOD($R$3+2,7)+1,Z8,""),AB10+1)</f>
        <v>45749</v>
      </c>
      <c r="AD10" s="17">
        <f>IF(AC10="",IF(WEEKDAY(Z8,1)=MOD($R$3+3,7)+1,Z8,""),AC10+1)</f>
        <v>45750</v>
      </c>
      <c r="AE10" s="17">
        <f>IF(AD10="",IF(WEEKDAY(Z8,1)=MOD($R$3+4,7)+1,Z8,""),AD10+1)</f>
        <v>45751</v>
      </c>
      <c r="AF10" s="17">
        <f>IF(AE10="",IF(WEEKDAY(Z8,1)=MOD($R$3+5,7)+1,Z8,""),AE10+1)</f>
        <v>45752</v>
      </c>
      <c r="AG10" s="12"/>
      <c r="AI10" s="46"/>
    </row>
    <row r="11" spans="1:35" s="13" customFormat="1" ht="18" customHeight="1" x14ac:dyDescent="0.2">
      <c r="B11" s="17">
        <f>IF(H10="","",IF(MONTH(H10+1)&lt;&gt;MONTH(H10),"",H10+1))</f>
        <v>45662</v>
      </c>
      <c r="C11" s="17">
        <f>IF(B11="","",IF(MONTH(B11+1)&lt;&gt;MONTH(B11),"",B11+1))</f>
        <v>45663</v>
      </c>
      <c r="D11" s="17">
        <f t="shared" ref="D11:H15" si="0">IF(C11="","",IF(MONTH(C11+1)&lt;&gt;MONTH(C11),"",C11+1))</f>
        <v>45664</v>
      </c>
      <c r="E11" s="17">
        <f t="shared" si="0"/>
        <v>45665</v>
      </c>
      <c r="F11" s="17">
        <f t="shared" si="0"/>
        <v>45666</v>
      </c>
      <c r="G11" s="17">
        <f t="shared" si="0"/>
        <v>45667</v>
      </c>
      <c r="H11" s="17">
        <f t="shared" si="0"/>
        <v>45668</v>
      </c>
      <c r="I11" s="12"/>
      <c r="J11" s="17">
        <f>IF(P10="","",IF(MONTH(P10+1)&lt;&gt;MONTH(P10),"",P10+1))</f>
        <v>45690</v>
      </c>
      <c r="K11" s="17">
        <f>IF(J11="","",IF(MONTH(J11+1)&lt;&gt;MONTH(J11),"",J11+1))</f>
        <v>45691</v>
      </c>
      <c r="L11" s="17">
        <f t="shared" ref="L11:P11" si="1">IF(K11="","",IF(MONTH(K11+1)&lt;&gt;MONTH(K11),"",K11+1))</f>
        <v>45692</v>
      </c>
      <c r="M11" s="17">
        <f t="shared" si="1"/>
        <v>45693</v>
      </c>
      <c r="N11" s="17">
        <f t="shared" si="1"/>
        <v>45694</v>
      </c>
      <c r="O11" s="17">
        <f t="shared" si="1"/>
        <v>45695</v>
      </c>
      <c r="P11" s="17">
        <f t="shared" si="1"/>
        <v>45696</v>
      </c>
      <c r="Q11" s="12"/>
      <c r="R11" s="17">
        <f>IF(X10="","",IF(MONTH(X10+1)&lt;&gt;MONTH(X10),"",X10+1))</f>
        <v>45718</v>
      </c>
      <c r="S11" s="17">
        <f>IF(R11="","",IF(MONTH(R11+1)&lt;&gt;MONTH(R11),"",R11+1))</f>
        <v>45719</v>
      </c>
      <c r="T11" s="17">
        <f t="shared" ref="T11:X11" si="2">IF(S11="","",IF(MONTH(S11+1)&lt;&gt;MONTH(S11),"",S11+1))</f>
        <v>45720</v>
      </c>
      <c r="U11" s="17">
        <f t="shared" si="2"/>
        <v>45721</v>
      </c>
      <c r="V11" s="17">
        <f t="shared" si="2"/>
        <v>45722</v>
      </c>
      <c r="W11" s="17">
        <f t="shared" si="2"/>
        <v>45723</v>
      </c>
      <c r="X11" s="17">
        <f t="shared" si="2"/>
        <v>45724</v>
      </c>
      <c r="Y11" s="12"/>
      <c r="Z11" s="17">
        <f>IF(AF10="","",IF(MONTH(AF10+1)&lt;&gt;MONTH(AF10),"",AF10+1))</f>
        <v>45753</v>
      </c>
      <c r="AA11" s="17">
        <f>IF(Z11="","",IF(MONTH(Z11+1)&lt;&gt;MONTH(Z11),"",Z11+1))</f>
        <v>45754</v>
      </c>
      <c r="AB11" s="17">
        <f t="shared" ref="AB11:AF11" si="3">IF(AA11="","",IF(MONTH(AA11+1)&lt;&gt;MONTH(AA11),"",AA11+1))</f>
        <v>45755</v>
      </c>
      <c r="AC11" s="17">
        <f t="shared" si="3"/>
        <v>45756</v>
      </c>
      <c r="AD11" s="17">
        <f t="shared" si="3"/>
        <v>45757</v>
      </c>
      <c r="AE11" s="17">
        <f t="shared" si="3"/>
        <v>45758</v>
      </c>
      <c r="AF11" s="17">
        <f t="shared" si="3"/>
        <v>45759</v>
      </c>
      <c r="AG11" s="12"/>
      <c r="AI11" s="46"/>
    </row>
    <row r="12" spans="1:35" s="13" customFormat="1" ht="18" customHeight="1" x14ac:dyDescent="0.2">
      <c r="B12" s="17">
        <f>IF(H11="","",IF(MONTH(H11+1)&lt;&gt;MONTH(H11),"",H11+1))</f>
        <v>45669</v>
      </c>
      <c r="C12" s="17">
        <f>IF(B12="","",IF(MONTH(B12+1)&lt;&gt;MONTH(B12),"",B12+1))</f>
        <v>45670</v>
      </c>
      <c r="D12" s="17">
        <f t="shared" si="0"/>
        <v>45671</v>
      </c>
      <c r="E12" s="17">
        <f t="shared" si="0"/>
        <v>45672</v>
      </c>
      <c r="F12" s="17">
        <f t="shared" si="0"/>
        <v>45673</v>
      </c>
      <c r="G12" s="17">
        <f t="shared" si="0"/>
        <v>45674</v>
      </c>
      <c r="H12" s="17">
        <f t="shared" si="0"/>
        <v>45675</v>
      </c>
      <c r="I12" s="12"/>
      <c r="J12" s="17">
        <f>IF(P11="","",IF(MONTH(P11+1)&lt;&gt;MONTH(P11),"",P11+1))</f>
        <v>45697</v>
      </c>
      <c r="K12" s="17">
        <f>IF(J12="","",IF(MONTH(J12+1)&lt;&gt;MONTH(J12),"",J12+1))</f>
        <v>45698</v>
      </c>
      <c r="L12" s="17">
        <f t="shared" ref="L12:P12" si="4">IF(K12="","",IF(MONTH(K12+1)&lt;&gt;MONTH(K12),"",K12+1))</f>
        <v>45699</v>
      </c>
      <c r="M12" s="17">
        <f t="shared" si="4"/>
        <v>45700</v>
      </c>
      <c r="N12" s="17">
        <f t="shared" si="4"/>
        <v>45701</v>
      </c>
      <c r="O12" s="17">
        <f t="shared" si="4"/>
        <v>45702</v>
      </c>
      <c r="P12" s="17">
        <f t="shared" si="4"/>
        <v>45703</v>
      </c>
      <c r="Q12" s="12"/>
      <c r="R12" s="17">
        <f>IF(X11="","",IF(MONTH(X11+1)&lt;&gt;MONTH(X11),"",X11+1))</f>
        <v>45725</v>
      </c>
      <c r="S12" s="17">
        <f>IF(R12="","",IF(MONTH(R12+1)&lt;&gt;MONTH(R12),"",R12+1))</f>
        <v>45726</v>
      </c>
      <c r="T12" s="17">
        <f t="shared" ref="T12:X12" si="5">IF(S12="","",IF(MONTH(S12+1)&lt;&gt;MONTH(S12),"",S12+1))</f>
        <v>45727</v>
      </c>
      <c r="U12" s="17">
        <f t="shared" si="5"/>
        <v>45728</v>
      </c>
      <c r="V12" s="17">
        <f t="shared" si="5"/>
        <v>45729</v>
      </c>
      <c r="W12" s="17">
        <f t="shared" si="5"/>
        <v>45730</v>
      </c>
      <c r="X12" s="17">
        <f t="shared" si="5"/>
        <v>45731</v>
      </c>
      <c r="Y12" s="12"/>
      <c r="Z12" s="17">
        <f>IF(AF11="","",IF(MONTH(AF11+1)&lt;&gt;MONTH(AF11),"",AF11+1))</f>
        <v>45760</v>
      </c>
      <c r="AA12" s="17">
        <f>IF(Z12="","",IF(MONTH(Z12+1)&lt;&gt;MONTH(Z12),"",Z12+1))</f>
        <v>45761</v>
      </c>
      <c r="AB12" s="17">
        <f t="shared" ref="AB12:AF12" si="6">IF(AA12="","",IF(MONTH(AA12+1)&lt;&gt;MONTH(AA12),"",AA12+1))</f>
        <v>45762</v>
      </c>
      <c r="AC12" s="17">
        <f t="shared" si="6"/>
        <v>45763</v>
      </c>
      <c r="AD12" s="17">
        <f t="shared" si="6"/>
        <v>45764</v>
      </c>
      <c r="AE12" s="17">
        <f t="shared" si="6"/>
        <v>45765</v>
      </c>
      <c r="AF12" s="17">
        <f t="shared" si="6"/>
        <v>45766</v>
      </c>
      <c r="AG12" s="12"/>
      <c r="AI12" s="46"/>
    </row>
    <row r="13" spans="1:35" s="13" customFormat="1" ht="18" customHeight="1" x14ac:dyDescent="0.2">
      <c r="B13" s="17">
        <f>IF(H12="","",IF(MONTH(H12+1)&lt;&gt;MONTH(H12),"",H12+1))</f>
        <v>45676</v>
      </c>
      <c r="C13" s="17">
        <f>IF(B13="","",IF(MONTH(B13+1)&lt;&gt;MONTH(B13),"",B13+1))</f>
        <v>45677</v>
      </c>
      <c r="D13" s="17">
        <f t="shared" si="0"/>
        <v>45678</v>
      </c>
      <c r="E13" s="17">
        <f t="shared" si="0"/>
        <v>45679</v>
      </c>
      <c r="F13" s="17">
        <f t="shared" si="0"/>
        <v>45680</v>
      </c>
      <c r="G13" s="17">
        <f t="shared" si="0"/>
        <v>45681</v>
      </c>
      <c r="H13" s="17">
        <f t="shared" si="0"/>
        <v>45682</v>
      </c>
      <c r="I13" s="12"/>
      <c r="J13" s="17">
        <f>IF(P12="","",IF(MONTH(P12+1)&lt;&gt;MONTH(P12),"",P12+1))</f>
        <v>45704</v>
      </c>
      <c r="K13" s="17">
        <f>IF(J13="","",IF(MONTH(J13+1)&lt;&gt;MONTH(J13),"",J13+1))</f>
        <v>45705</v>
      </c>
      <c r="L13" s="17">
        <f t="shared" ref="L13:P13" si="7">IF(K13="","",IF(MONTH(K13+1)&lt;&gt;MONTH(K13),"",K13+1))</f>
        <v>45706</v>
      </c>
      <c r="M13" s="17">
        <f t="shared" si="7"/>
        <v>45707</v>
      </c>
      <c r="N13" s="17">
        <f t="shared" si="7"/>
        <v>45708</v>
      </c>
      <c r="O13" s="17">
        <f t="shared" si="7"/>
        <v>45709</v>
      </c>
      <c r="P13" s="17">
        <f t="shared" si="7"/>
        <v>45710</v>
      </c>
      <c r="Q13" s="12"/>
      <c r="R13" s="17">
        <f>IF(X12="","",IF(MONTH(X12+1)&lt;&gt;MONTH(X12),"",X12+1))</f>
        <v>45732</v>
      </c>
      <c r="S13" s="17">
        <f>IF(R13="","",IF(MONTH(R13+1)&lt;&gt;MONTH(R13),"",R13+1))</f>
        <v>45733</v>
      </c>
      <c r="T13" s="17">
        <f t="shared" ref="T13:X13" si="8">IF(S13="","",IF(MONTH(S13+1)&lt;&gt;MONTH(S13),"",S13+1))</f>
        <v>45734</v>
      </c>
      <c r="U13" s="17">
        <f t="shared" si="8"/>
        <v>45735</v>
      </c>
      <c r="V13" s="17">
        <f t="shared" si="8"/>
        <v>45736</v>
      </c>
      <c r="W13" s="17">
        <f t="shared" si="8"/>
        <v>45737</v>
      </c>
      <c r="X13" s="17">
        <f t="shared" si="8"/>
        <v>45738</v>
      </c>
      <c r="Y13" s="12"/>
      <c r="Z13" s="17">
        <f>IF(AF12="","",IF(MONTH(AF12+1)&lt;&gt;MONTH(AF12),"",AF12+1))</f>
        <v>45767</v>
      </c>
      <c r="AA13" s="17">
        <f>IF(Z13="","",IF(MONTH(Z13+1)&lt;&gt;MONTH(Z13),"",Z13+1))</f>
        <v>45768</v>
      </c>
      <c r="AB13" s="17">
        <f t="shared" ref="AB13:AF13" si="9">IF(AA13="","",IF(MONTH(AA13+1)&lt;&gt;MONTH(AA13),"",AA13+1))</f>
        <v>45769</v>
      </c>
      <c r="AC13" s="17">
        <f t="shared" si="9"/>
        <v>45770</v>
      </c>
      <c r="AD13" s="17">
        <f t="shared" si="9"/>
        <v>45771</v>
      </c>
      <c r="AE13" s="17">
        <f t="shared" si="9"/>
        <v>45772</v>
      </c>
      <c r="AF13" s="17">
        <f t="shared" si="9"/>
        <v>45773</v>
      </c>
      <c r="AG13" s="12"/>
      <c r="AI13" s="46"/>
    </row>
    <row r="14" spans="1:35" s="13" customFormat="1" ht="18" customHeight="1" x14ac:dyDescent="0.2">
      <c r="B14" s="17">
        <f>IF(H13="","",IF(MONTH(H13+1)&lt;&gt;MONTH(H13),"",H13+1))</f>
        <v>45683</v>
      </c>
      <c r="C14" s="17">
        <f>IF(B14="","",IF(MONTH(B14+1)&lt;&gt;MONTH(B14),"",B14+1))</f>
        <v>45684</v>
      </c>
      <c r="D14" s="17">
        <f t="shared" si="0"/>
        <v>45685</v>
      </c>
      <c r="E14" s="17">
        <f t="shared" si="0"/>
        <v>45686</v>
      </c>
      <c r="F14" s="17">
        <f t="shared" si="0"/>
        <v>45687</v>
      </c>
      <c r="G14" s="17">
        <f t="shared" si="0"/>
        <v>45688</v>
      </c>
      <c r="H14" s="17" t="str">
        <f t="shared" si="0"/>
        <v/>
      </c>
      <c r="I14" s="12"/>
      <c r="J14" s="17">
        <f>IF(P13="","",IF(MONTH(P13+1)&lt;&gt;MONTH(P13),"",P13+1))</f>
        <v>45711</v>
      </c>
      <c r="K14" s="17">
        <f>IF(J14="","",IF(MONTH(J14+1)&lt;&gt;MONTH(J14),"",J14+1))</f>
        <v>45712</v>
      </c>
      <c r="L14" s="17">
        <f t="shared" ref="L14:P14" si="10">IF(K14="","",IF(MONTH(K14+1)&lt;&gt;MONTH(K14),"",K14+1))</f>
        <v>45713</v>
      </c>
      <c r="M14" s="17">
        <f t="shared" si="10"/>
        <v>45714</v>
      </c>
      <c r="N14" s="17">
        <f t="shared" si="10"/>
        <v>45715</v>
      </c>
      <c r="O14" s="17">
        <f t="shared" si="10"/>
        <v>45716</v>
      </c>
      <c r="P14" s="17" t="str">
        <f t="shared" si="10"/>
        <v/>
      </c>
      <c r="Q14" s="12"/>
      <c r="R14" s="17">
        <f>IF(X13="","",IF(MONTH(X13+1)&lt;&gt;MONTH(X13),"",X13+1))</f>
        <v>45739</v>
      </c>
      <c r="S14" s="17">
        <f>IF(R14="","",IF(MONTH(R14+1)&lt;&gt;MONTH(R14),"",R14+1))</f>
        <v>45740</v>
      </c>
      <c r="T14" s="17">
        <f t="shared" ref="T14:X14" si="11">IF(S14="","",IF(MONTH(S14+1)&lt;&gt;MONTH(S14),"",S14+1))</f>
        <v>45741</v>
      </c>
      <c r="U14" s="17">
        <f t="shared" si="11"/>
        <v>45742</v>
      </c>
      <c r="V14" s="17">
        <f t="shared" si="11"/>
        <v>45743</v>
      </c>
      <c r="W14" s="17">
        <f t="shared" si="11"/>
        <v>45744</v>
      </c>
      <c r="X14" s="17">
        <f t="shared" si="11"/>
        <v>45745</v>
      </c>
      <c r="Y14" s="12"/>
      <c r="Z14" s="17">
        <f>IF(AF13="","",IF(MONTH(AF13+1)&lt;&gt;MONTH(AF13),"",AF13+1))</f>
        <v>45774</v>
      </c>
      <c r="AA14" s="17">
        <f>IF(Z14="","",IF(MONTH(Z14+1)&lt;&gt;MONTH(Z14),"",Z14+1))</f>
        <v>45775</v>
      </c>
      <c r="AB14" s="17">
        <f t="shared" ref="AB14:AF14" si="12">IF(AA14="","",IF(MONTH(AA14+1)&lt;&gt;MONTH(AA14),"",AA14+1))</f>
        <v>45776</v>
      </c>
      <c r="AC14" s="17">
        <f t="shared" si="12"/>
        <v>45777</v>
      </c>
      <c r="AD14" s="17" t="str">
        <f t="shared" si="12"/>
        <v/>
      </c>
      <c r="AE14" s="17" t="str">
        <f t="shared" si="12"/>
        <v/>
      </c>
      <c r="AF14" s="17" t="str">
        <f t="shared" si="12"/>
        <v/>
      </c>
      <c r="AG14" s="12"/>
      <c r="AI14" s="46"/>
    </row>
    <row r="15" spans="1:35" s="13" customFormat="1" ht="18" customHeight="1" x14ac:dyDescent="0.2">
      <c r="B15" s="17" t="str">
        <f>IF(H14="","",IF(MONTH(H14+1)&lt;&gt;MONTH(H14),"",H14+1))</f>
        <v/>
      </c>
      <c r="C15" s="17" t="str">
        <f>IF(B15="","",IF(MONTH(B15+1)&lt;&gt;MONTH(B15),"",B15+1))</f>
        <v/>
      </c>
      <c r="D15" s="17" t="str">
        <f t="shared" si="0"/>
        <v/>
      </c>
      <c r="E15" s="17" t="str">
        <f t="shared" si="0"/>
        <v/>
      </c>
      <c r="F15" s="17" t="str">
        <f t="shared" si="0"/>
        <v/>
      </c>
      <c r="G15" s="17" t="str">
        <f t="shared" si="0"/>
        <v/>
      </c>
      <c r="H15" s="17" t="str">
        <f t="shared" si="0"/>
        <v/>
      </c>
      <c r="I15" s="12"/>
      <c r="J15" s="17" t="str">
        <f>IF(P14="","",IF(MONTH(P14+1)&lt;&gt;MONTH(P14),"",P14+1))</f>
        <v/>
      </c>
      <c r="K15" s="17" t="str">
        <f>IF(J15="","",IF(MONTH(J15+1)&lt;&gt;MONTH(J15),"",J15+1))</f>
        <v/>
      </c>
      <c r="L15" s="17" t="str">
        <f t="shared" ref="L15:P15" si="13">IF(K15="","",IF(MONTH(K15+1)&lt;&gt;MONTH(K15),"",K15+1))</f>
        <v/>
      </c>
      <c r="M15" s="17" t="str">
        <f t="shared" si="13"/>
        <v/>
      </c>
      <c r="N15" s="17" t="str">
        <f t="shared" si="13"/>
        <v/>
      </c>
      <c r="O15" s="17" t="str">
        <f t="shared" si="13"/>
        <v/>
      </c>
      <c r="P15" s="17" t="str">
        <f t="shared" si="13"/>
        <v/>
      </c>
      <c r="Q15" s="12"/>
      <c r="R15" s="17">
        <f>IF(X14="","",IF(MONTH(X14+1)&lt;&gt;MONTH(X14),"",X14+1))</f>
        <v>45746</v>
      </c>
      <c r="S15" s="17">
        <f>IF(R15="","",IF(MONTH(R15+1)&lt;&gt;MONTH(R15),"",R15+1))</f>
        <v>45747</v>
      </c>
      <c r="T15" s="17" t="str">
        <f t="shared" ref="T15:X15" si="14">IF(S15="","",IF(MONTH(S15+1)&lt;&gt;MONTH(S15),"",S15+1))</f>
        <v/>
      </c>
      <c r="U15" s="17" t="str">
        <f t="shared" si="14"/>
        <v/>
      </c>
      <c r="V15" s="17" t="str">
        <f t="shared" si="14"/>
        <v/>
      </c>
      <c r="W15" s="17" t="str">
        <f t="shared" si="14"/>
        <v/>
      </c>
      <c r="X15" s="17" t="str">
        <f t="shared" si="14"/>
        <v/>
      </c>
      <c r="Y15" s="12"/>
      <c r="Z15" s="17" t="str">
        <f>IF(AF14="","",IF(MONTH(AF14+1)&lt;&gt;MONTH(AF14),"",AF14+1))</f>
        <v/>
      </c>
      <c r="AA15" s="17" t="str">
        <f>IF(Z15="","",IF(MONTH(Z15+1)&lt;&gt;MONTH(Z15),"",Z15+1))</f>
        <v/>
      </c>
      <c r="AB15" s="17" t="str">
        <f t="shared" ref="AB15:AF15" si="15">IF(AA15="","",IF(MONTH(AA15+1)&lt;&gt;MONTH(AA15),"",AA15+1))</f>
        <v/>
      </c>
      <c r="AC15" s="17" t="str">
        <f t="shared" si="15"/>
        <v/>
      </c>
      <c r="AD15" s="17" t="str">
        <f t="shared" si="15"/>
        <v/>
      </c>
      <c r="AE15" s="17" t="str">
        <f t="shared" si="15"/>
        <v/>
      </c>
      <c r="AF15" s="17" t="str">
        <f t="shared" si="15"/>
        <v/>
      </c>
      <c r="AG15" s="12"/>
    </row>
    <row r="16" spans="1:35" ht="18" customHeight="1" x14ac:dyDescent="0.2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5" s="10" customFormat="1" ht="22.5" customHeight="1" x14ac:dyDescent="0.25">
      <c r="B17" s="37">
        <f>DATE(YEAR(Z8+42),MONTH(Z8+42),1)</f>
        <v>45778</v>
      </c>
      <c r="C17" s="38"/>
      <c r="D17" s="38"/>
      <c r="E17" s="38"/>
      <c r="F17" s="38"/>
      <c r="G17" s="38"/>
      <c r="H17" s="39"/>
      <c r="I17" s="11"/>
      <c r="J17" s="37">
        <f>DATE(YEAR(B17+42),MONTH(B17+42),1)</f>
        <v>45809</v>
      </c>
      <c r="K17" s="38"/>
      <c r="L17" s="38"/>
      <c r="M17" s="38"/>
      <c r="N17" s="38"/>
      <c r="O17" s="38"/>
      <c r="P17" s="39"/>
      <c r="Q17" s="11"/>
      <c r="R17" s="37">
        <f>DATE(YEAR(J17+42),MONTH(J17+42),1)</f>
        <v>45839</v>
      </c>
      <c r="S17" s="38"/>
      <c r="T17" s="38"/>
      <c r="U17" s="38"/>
      <c r="V17" s="38"/>
      <c r="W17" s="38"/>
      <c r="X17" s="39"/>
      <c r="Y17" s="11"/>
      <c r="Z17" s="37">
        <f>DATE(YEAR(R17+42),MONTH(R17+42),1)</f>
        <v>45870</v>
      </c>
      <c r="AA17" s="38"/>
      <c r="AB17" s="38"/>
      <c r="AC17" s="38"/>
      <c r="AD17" s="38"/>
      <c r="AE17" s="38"/>
      <c r="AF17" s="39"/>
      <c r="AG17" s="11"/>
      <c r="AI17" s="35" t="s">
        <v>22</v>
      </c>
    </row>
    <row r="18" spans="2:35" s="12" customFormat="1" ht="18" customHeight="1" x14ac:dyDescent="0.2">
      <c r="B18" s="14" t="str">
        <f>CHOOSE(1+MOD($R$3+1-2,7),"Su","M","Tu","W","Th","F","Sa")</f>
        <v>Su</v>
      </c>
      <c r="C18" s="15" t="str">
        <f>CHOOSE(1+MOD($R$3+2-2,7),"Su","M","Tu","W","Th","F","Sa")</f>
        <v>M</v>
      </c>
      <c r="D18" s="15" t="str">
        <f>CHOOSE(1+MOD($R$3+3-2,7),"Su","M","Tu","W","Th","F","Sa")</f>
        <v>Tu</v>
      </c>
      <c r="E18" s="15" t="str">
        <f>CHOOSE(1+MOD($R$3+4-2,7),"Su","M","Tu","W","Th","F","Sa")</f>
        <v>W</v>
      </c>
      <c r="F18" s="15" t="str">
        <f>CHOOSE(1+MOD($R$3+5-2,7),"Su","M","Tu","W","Th","F","Sa")</f>
        <v>Th</v>
      </c>
      <c r="G18" s="15" t="str">
        <f>CHOOSE(1+MOD($R$3+6-2,7),"Su","M","Tu","W","Th","F","Sa")</f>
        <v>F</v>
      </c>
      <c r="H18" s="16" t="str">
        <f>CHOOSE(1+MOD($R$3+7-2,7),"Su","M","Tu","W","Th","F","Sa")</f>
        <v>Sa</v>
      </c>
      <c r="J18" s="14" t="str">
        <f>CHOOSE(1+MOD($R$3+1-2,7),"Su","M","Tu","W","Th","F","Sa")</f>
        <v>Su</v>
      </c>
      <c r="K18" s="15" t="str">
        <f>CHOOSE(1+MOD($R$3+2-2,7),"Su","M","Tu","W","Th","F","Sa")</f>
        <v>M</v>
      </c>
      <c r="L18" s="15" t="str">
        <f>CHOOSE(1+MOD($R$3+3-2,7),"Su","M","Tu","W","Th","F","Sa")</f>
        <v>Tu</v>
      </c>
      <c r="M18" s="15" t="str">
        <f>CHOOSE(1+MOD($R$3+4-2,7),"Su","M","Tu","W","Th","F","Sa")</f>
        <v>W</v>
      </c>
      <c r="N18" s="15" t="str">
        <f>CHOOSE(1+MOD($R$3+5-2,7),"Su","M","Tu","W","Th","F","Sa")</f>
        <v>Th</v>
      </c>
      <c r="O18" s="15" t="str">
        <f>CHOOSE(1+MOD($R$3+6-2,7),"Su","M","Tu","W","Th","F","Sa")</f>
        <v>F</v>
      </c>
      <c r="P18" s="16" t="str">
        <f>CHOOSE(1+MOD($R$3+7-2,7),"Su","M","Tu","W","Th","F","Sa")</f>
        <v>Sa</v>
      </c>
      <c r="R18" s="14" t="str">
        <f>CHOOSE(1+MOD($R$3+1-2,7),"Su","M","Tu","W","Th","F","Sa")</f>
        <v>Su</v>
      </c>
      <c r="S18" s="15" t="str">
        <f>CHOOSE(1+MOD($R$3+2-2,7),"Su","M","Tu","W","Th","F","Sa")</f>
        <v>M</v>
      </c>
      <c r="T18" s="15" t="str">
        <f>CHOOSE(1+MOD($R$3+3-2,7),"Su","M","Tu","W","Th","F","Sa")</f>
        <v>Tu</v>
      </c>
      <c r="U18" s="15" t="str">
        <f>CHOOSE(1+MOD($R$3+4-2,7),"Su","M","Tu","W","Th","F","Sa")</f>
        <v>W</v>
      </c>
      <c r="V18" s="15" t="str">
        <f>CHOOSE(1+MOD($R$3+5-2,7),"Su","M","Tu","W","Th","F","Sa")</f>
        <v>Th</v>
      </c>
      <c r="W18" s="15" t="str">
        <f>CHOOSE(1+MOD($R$3+6-2,7),"Su","M","Tu","W","Th","F","Sa")</f>
        <v>F</v>
      </c>
      <c r="X18" s="16" t="str">
        <f>CHOOSE(1+MOD($R$3+7-2,7),"Su","M","Tu","W","Th","F","Sa")</f>
        <v>Sa</v>
      </c>
      <c r="Z18" s="14" t="str">
        <f>CHOOSE(1+MOD($R$3+1-2,7),"Su","M","Tu","W","Th","F","Sa")</f>
        <v>Su</v>
      </c>
      <c r="AA18" s="15" t="str">
        <f>CHOOSE(1+MOD($R$3+2-2,7),"Su","M","Tu","W","Th","F","Sa")</f>
        <v>M</v>
      </c>
      <c r="AB18" s="15" t="str">
        <f>CHOOSE(1+MOD($R$3+3-2,7),"Su","M","Tu","W","Th","F","Sa")</f>
        <v>Tu</v>
      </c>
      <c r="AC18" s="15" t="str">
        <f>CHOOSE(1+MOD($R$3+4-2,7),"Su","M","Tu","W","Th","F","Sa")</f>
        <v>W</v>
      </c>
      <c r="AD18" s="15" t="str">
        <f>CHOOSE(1+MOD($R$3+5-2,7),"Su","M","Tu","W","Th","F","Sa")</f>
        <v>Th</v>
      </c>
      <c r="AE18" s="15" t="str">
        <f>CHOOSE(1+MOD($R$3+6-2,7),"Su","M","Tu","W","Th","F","Sa")</f>
        <v>F</v>
      </c>
      <c r="AF18" s="16" t="str">
        <f>CHOOSE(1+MOD($R$3+7-2,7),"Su","M","Tu","W","Th","F","Sa")</f>
        <v>Sa</v>
      </c>
      <c r="AI18" s="36" t="s">
        <v>23</v>
      </c>
    </row>
    <row r="19" spans="2:35" s="13" customFormat="1" ht="18" customHeight="1" x14ac:dyDescent="0.2">
      <c r="B19" s="17" t="str">
        <f>IF(WEEKDAY(B17,1)=$R$3,B17,"")</f>
        <v/>
      </c>
      <c r="C19" s="17" t="str">
        <f>IF(B19="",IF(WEEKDAY(B17,1)=MOD($R$3,7)+1,B17,""),B19+1)</f>
        <v/>
      </c>
      <c r="D19" s="17" t="str">
        <f>IF(C19="",IF(WEEKDAY(B17,1)=MOD($R$3+1,7)+1,B17,""),C19+1)</f>
        <v/>
      </c>
      <c r="E19" s="17" t="str">
        <f>IF(D19="",IF(WEEKDAY(B17,1)=MOD($R$3+2,7)+1,B17,""),D19+1)</f>
        <v/>
      </c>
      <c r="F19" s="17">
        <f>IF(E19="",IF(WEEKDAY(B17,1)=MOD($R$3+3,7)+1,B17,""),E19+1)</f>
        <v>45778</v>
      </c>
      <c r="G19" s="17">
        <f>IF(F19="",IF(WEEKDAY(B17,1)=MOD($R$3+4,7)+1,B17,""),F19+1)</f>
        <v>45779</v>
      </c>
      <c r="H19" s="17">
        <f>IF(G19="",IF(WEEKDAY(B17,1)=MOD($R$3+5,7)+1,B17,""),G19+1)</f>
        <v>45780</v>
      </c>
      <c r="I19" s="12"/>
      <c r="J19" s="17">
        <f>IF(WEEKDAY(J17,1)=$R$3,J17,"")</f>
        <v>45809</v>
      </c>
      <c r="K19" s="17">
        <f>IF(J19="",IF(WEEKDAY(J17,1)=MOD($R$3,7)+1,J17,""),J19+1)</f>
        <v>45810</v>
      </c>
      <c r="L19" s="17">
        <f>IF(K19="",IF(WEEKDAY(J17,1)=MOD($R$3+1,7)+1,J17,""),K19+1)</f>
        <v>45811</v>
      </c>
      <c r="M19" s="17">
        <f>IF(L19="",IF(WEEKDAY(J17,1)=MOD($R$3+2,7)+1,J17,""),L19+1)</f>
        <v>45812</v>
      </c>
      <c r="N19" s="17">
        <f>IF(M19="",IF(WEEKDAY(J17,1)=MOD($R$3+3,7)+1,J17,""),M19+1)</f>
        <v>45813</v>
      </c>
      <c r="O19" s="17">
        <f>IF(N19="",IF(WEEKDAY(J17,1)=MOD($R$3+4,7)+1,J17,""),N19+1)</f>
        <v>45814</v>
      </c>
      <c r="P19" s="17">
        <f>IF(O19="",IF(WEEKDAY(J17,1)=MOD($R$3+5,7)+1,J17,""),O19+1)</f>
        <v>45815</v>
      </c>
      <c r="Q19" s="12"/>
      <c r="R19" s="17" t="str">
        <f>IF(WEEKDAY(R17,1)=$R$3,R17,"")</f>
        <v/>
      </c>
      <c r="S19" s="17" t="str">
        <f>IF(R19="",IF(WEEKDAY(R17,1)=MOD($R$3,7)+1,R17,""),R19+1)</f>
        <v/>
      </c>
      <c r="T19" s="17">
        <f>IF(S19="",IF(WEEKDAY(R17,1)=MOD($R$3+1,7)+1,R17,""),S19+1)</f>
        <v>45839</v>
      </c>
      <c r="U19" s="17">
        <f>IF(T19="",IF(WEEKDAY(R17,1)=MOD($R$3+2,7)+1,R17,""),T19+1)</f>
        <v>45840</v>
      </c>
      <c r="V19" s="17">
        <f>IF(U19="",IF(WEEKDAY(R17,1)=MOD($R$3+3,7)+1,R17,""),U19+1)</f>
        <v>45841</v>
      </c>
      <c r="W19" s="17">
        <f>IF(V19="",IF(WEEKDAY(R17,1)=MOD($R$3+4,7)+1,R17,""),V19+1)</f>
        <v>45842</v>
      </c>
      <c r="X19" s="17">
        <f>IF(W19="",IF(WEEKDAY(R17,1)=MOD($R$3+5,7)+1,R17,""),W19+1)</f>
        <v>45843</v>
      </c>
      <c r="Y19" s="12"/>
      <c r="Z19" s="17" t="str">
        <f>IF(WEEKDAY(Z17,1)=$R$3,Z17,"")</f>
        <v/>
      </c>
      <c r="AA19" s="17" t="str">
        <f>IF(Z19="",IF(WEEKDAY(Z17,1)=MOD($R$3,7)+1,Z17,""),Z19+1)</f>
        <v/>
      </c>
      <c r="AB19" s="17" t="str">
        <f>IF(AA19="",IF(WEEKDAY(Z17,1)=MOD($R$3+1,7)+1,Z17,""),AA19+1)</f>
        <v/>
      </c>
      <c r="AC19" s="17" t="str">
        <f>IF(AB19="",IF(WEEKDAY(Z17,1)=MOD($R$3+2,7)+1,Z17,""),AB19+1)</f>
        <v/>
      </c>
      <c r="AD19" s="17" t="str">
        <f>IF(AC19="",IF(WEEKDAY(Z17,1)=MOD($R$3+3,7)+1,Z17,""),AC19+1)</f>
        <v/>
      </c>
      <c r="AE19" s="17">
        <f>IF(AD19="",IF(WEEKDAY(Z17,1)=MOD($R$3+4,7)+1,Z17,""),AD19+1)</f>
        <v>45870</v>
      </c>
      <c r="AF19" s="17">
        <f>IF(AE19="",IF(WEEKDAY(Z17,1)=MOD($R$3+5,7)+1,Z17,""),AE19+1)</f>
        <v>45871</v>
      </c>
      <c r="AG19" s="12"/>
      <c r="AI19" s="36" t="s">
        <v>24</v>
      </c>
    </row>
    <row r="20" spans="2:35" s="13" customFormat="1" ht="18" customHeight="1" x14ac:dyDescent="0.2">
      <c r="B20" s="17">
        <f>IF(H19="","",IF(MONTH(H19+1)&lt;&gt;MONTH(H19),"",H19+1))</f>
        <v>45781</v>
      </c>
      <c r="C20" s="17">
        <f>IF(B20="","",IF(MONTH(B20+1)&lt;&gt;MONTH(B20),"",B20+1))</f>
        <v>45782</v>
      </c>
      <c r="D20" s="17">
        <f t="shared" ref="D20:H20" si="16">IF(C20="","",IF(MONTH(C20+1)&lt;&gt;MONTH(C20),"",C20+1))</f>
        <v>45783</v>
      </c>
      <c r="E20" s="17">
        <f t="shared" si="16"/>
        <v>45784</v>
      </c>
      <c r="F20" s="17">
        <f t="shared" si="16"/>
        <v>45785</v>
      </c>
      <c r="G20" s="17">
        <f t="shared" si="16"/>
        <v>45786</v>
      </c>
      <c r="H20" s="17">
        <f t="shared" si="16"/>
        <v>45787</v>
      </c>
      <c r="I20" s="12"/>
      <c r="J20" s="17">
        <f>IF(P19="","",IF(MONTH(P19+1)&lt;&gt;MONTH(P19),"",P19+1))</f>
        <v>45816</v>
      </c>
      <c r="K20" s="17">
        <f>IF(J20="","",IF(MONTH(J20+1)&lt;&gt;MONTH(J20),"",J20+1))</f>
        <v>45817</v>
      </c>
      <c r="L20" s="17">
        <f t="shared" ref="L20:P20" si="17">IF(K20="","",IF(MONTH(K20+1)&lt;&gt;MONTH(K20),"",K20+1))</f>
        <v>45818</v>
      </c>
      <c r="M20" s="17">
        <f t="shared" si="17"/>
        <v>45819</v>
      </c>
      <c r="N20" s="17">
        <f t="shared" si="17"/>
        <v>45820</v>
      </c>
      <c r="O20" s="17">
        <f t="shared" si="17"/>
        <v>45821</v>
      </c>
      <c r="P20" s="17">
        <f t="shared" si="17"/>
        <v>45822</v>
      </c>
      <c r="Q20" s="12"/>
      <c r="R20" s="17">
        <f>IF(X19="","",IF(MONTH(X19+1)&lt;&gt;MONTH(X19),"",X19+1))</f>
        <v>45844</v>
      </c>
      <c r="S20" s="17">
        <f>IF(R20="","",IF(MONTH(R20+1)&lt;&gt;MONTH(R20),"",R20+1))</f>
        <v>45845</v>
      </c>
      <c r="T20" s="17">
        <f t="shared" ref="T20:X20" si="18">IF(S20="","",IF(MONTH(S20+1)&lt;&gt;MONTH(S20),"",S20+1))</f>
        <v>45846</v>
      </c>
      <c r="U20" s="17">
        <f t="shared" si="18"/>
        <v>45847</v>
      </c>
      <c r="V20" s="17">
        <f t="shared" si="18"/>
        <v>45848</v>
      </c>
      <c r="W20" s="17">
        <f t="shared" si="18"/>
        <v>45849</v>
      </c>
      <c r="X20" s="17">
        <f t="shared" si="18"/>
        <v>45850</v>
      </c>
      <c r="Y20" s="12"/>
      <c r="Z20" s="17">
        <f>IF(AF19="","",IF(MONTH(AF19+1)&lt;&gt;MONTH(AF19),"",AF19+1))</f>
        <v>45872</v>
      </c>
      <c r="AA20" s="17">
        <f>IF(Z20="","",IF(MONTH(Z20+1)&lt;&gt;MONTH(Z20),"",Z20+1))</f>
        <v>45873</v>
      </c>
      <c r="AB20" s="17">
        <f t="shared" ref="AB20:AF20" si="19">IF(AA20="","",IF(MONTH(AA20+1)&lt;&gt;MONTH(AA20),"",AA20+1))</f>
        <v>45874</v>
      </c>
      <c r="AC20" s="17">
        <f t="shared" si="19"/>
        <v>45875</v>
      </c>
      <c r="AD20" s="17">
        <f t="shared" si="19"/>
        <v>45876</v>
      </c>
      <c r="AE20" s="17">
        <f t="shared" si="19"/>
        <v>45877</v>
      </c>
      <c r="AF20" s="17">
        <f t="shared" si="19"/>
        <v>45878</v>
      </c>
      <c r="AG20" s="12"/>
      <c r="AI20" s="36" t="s">
        <v>25</v>
      </c>
    </row>
    <row r="21" spans="2:35" s="13" customFormat="1" ht="18" customHeight="1" x14ac:dyDescent="0.2">
      <c r="B21" s="17">
        <f>IF(H20="","",IF(MONTH(H20+1)&lt;&gt;MONTH(H20),"",H20+1))</f>
        <v>45788</v>
      </c>
      <c r="C21" s="17">
        <f>IF(B21="","",IF(MONTH(B21+1)&lt;&gt;MONTH(B21),"",B21+1))</f>
        <v>45789</v>
      </c>
      <c r="D21" s="17">
        <f t="shared" ref="D21:H21" si="20">IF(C21="","",IF(MONTH(C21+1)&lt;&gt;MONTH(C21),"",C21+1))</f>
        <v>45790</v>
      </c>
      <c r="E21" s="17">
        <f t="shared" si="20"/>
        <v>45791</v>
      </c>
      <c r="F21" s="17">
        <f t="shared" si="20"/>
        <v>45792</v>
      </c>
      <c r="G21" s="17">
        <f t="shared" si="20"/>
        <v>45793</v>
      </c>
      <c r="H21" s="17">
        <f t="shared" si="20"/>
        <v>45794</v>
      </c>
      <c r="I21" s="12"/>
      <c r="J21" s="17">
        <f>IF(P20="","",IF(MONTH(P20+1)&lt;&gt;MONTH(P20),"",P20+1))</f>
        <v>45823</v>
      </c>
      <c r="K21" s="17">
        <f>IF(J21="","",IF(MONTH(J21+1)&lt;&gt;MONTH(J21),"",J21+1))</f>
        <v>45824</v>
      </c>
      <c r="L21" s="17">
        <f t="shared" ref="L21:P21" si="21">IF(K21="","",IF(MONTH(K21+1)&lt;&gt;MONTH(K21),"",K21+1))</f>
        <v>45825</v>
      </c>
      <c r="M21" s="17">
        <f t="shared" si="21"/>
        <v>45826</v>
      </c>
      <c r="N21" s="17">
        <f t="shared" si="21"/>
        <v>45827</v>
      </c>
      <c r="O21" s="17">
        <f t="shared" si="21"/>
        <v>45828</v>
      </c>
      <c r="P21" s="17">
        <f t="shared" si="21"/>
        <v>45829</v>
      </c>
      <c r="Q21" s="12"/>
      <c r="R21" s="17">
        <f>IF(X20="","",IF(MONTH(X20+1)&lt;&gt;MONTH(X20),"",X20+1))</f>
        <v>45851</v>
      </c>
      <c r="S21" s="17">
        <f>IF(R21="","",IF(MONTH(R21+1)&lt;&gt;MONTH(R21),"",R21+1))</f>
        <v>45852</v>
      </c>
      <c r="T21" s="17">
        <f t="shared" ref="T21:X21" si="22">IF(S21="","",IF(MONTH(S21+1)&lt;&gt;MONTH(S21),"",S21+1))</f>
        <v>45853</v>
      </c>
      <c r="U21" s="17">
        <f t="shared" si="22"/>
        <v>45854</v>
      </c>
      <c r="V21" s="17">
        <f t="shared" si="22"/>
        <v>45855</v>
      </c>
      <c r="W21" s="17">
        <f t="shared" si="22"/>
        <v>45856</v>
      </c>
      <c r="X21" s="17">
        <f t="shared" si="22"/>
        <v>45857</v>
      </c>
      <c r="Y21" s="12"/>
      <c r="Z21" s="17">
        <f>IF(AF20="","",IF(MONTH(AF20+1)&lt;&gt;MONTH(AF20),"",AF20+1))</f>
        <v>45879</v>
      </c>
      <c r="AA21" s="17">
        <f>IF(Z21="","",IF(MONTH(Z21+1)&lt;&gt;MONTH(Z21),"",Z21+1))</f>
        <v>45880</v>
      </c>
      <c r="AB21" s="17">
        <f t="shared" ref="AB21:AF21" si="23">IF(AA21="","",IF(MONTH(AA21+1)&lt;&gt;MONTH(AA21),"",AA21+1))</f>
        <v>45881</v>
      </c>
      <c r="AC21" s="17">
        <f t="shared" si="23"/>
        <v>45882</v>
      </c>
      <c r="AD21" s="17">
        <f t="shared" si="23"/>
        <v>45883</v>
      </c>
      <c r="AE21" s="17">
        <f t="shared" si="23"/>
        <v>45884</v>
      </c>
      <c r="AF21" s="17">
        <f t="shared" si="23"/>
        <v>45885</v>
      </c>
      <c r="AG21" s="12"/>
    </row>
    <row r="22" spans="2:35" s="13" customFormat="1" ht="18" customHeight="1" x14ac:dyDescent="0.2">
      <c r="B22" s="17">
        <f>IF(H21="","",IF(MONTH(H21+1)&lt;&gt;MONTH(H21),"",H21+1))</f>
        <v>45795</v>
      </c>
      <c r="C22" s="17">
        <f>IF(B22="","",IF(MONTH(B22+1)&lt;&gt;MONTH(B22),"",B22+1))</f>
        <v>45796</v>
      </c>
      <c r="D22" s="17">
        <f t="shared" ref="D22:H22" si="24">IF(C22="","",IF(MONTH(C22+1)&lt;&gt;MONTH(C22),"",C22+1))</f>
        <v>45797</v>
      </c>
      <c r="E22" s="17">
        <f t="shared" si="24"/>
        <v>45798</v>
      </c>
      <c r="F22" s="17">
        <f t="shared" si="24"/>
        <v>45799</v>
      </c>
      <c r="G22" s="17">
        <f t="shared" si="24"/>
        <v>45800</v>
      </c>
      <c r="H22" s="17">
        <f t="shared" si="24"/>
        <v>45801</v>
      </c>
      <c r="I22" s="12"/>
      <c r="J22" s="17">
        <f>IF(P21="","",IF(MONTH(P21+1)&lt;&gt;MONTH(P21),"",P21+1))</f>
        <v>45830</v>
      </c>
      <c r="K22" s="17">
        <f>IF(J22="","",IF(MONTH(J22+1)&lt;&gt;MONTH(J22),"",J22+1))</f>
        <v>45831</v>
      </c>
      <c r="L22" s="17">
        <f t="shared" ref="L22:P22" si="25">IF(K22="","",IF(MONTH(K22+1)&lt;&gt;MONTH(K22),"",K22+1))</f>
        <v>45832</v>
      </c>
      <c r="M22" s="17">
        <f t="shared" si="25"/>
        <v>45833</v>
      </c>
      <c r="N22" s="17">
        <f t="shared" si="25"/>
        <v>45834</v>
      </c>
      <c r="O22" s="17">
        <f t="shared" si="25"/>
        <v>45835</v>
      </c>
      <c r="P22" s="17">
        <f t="shared" si="25"/>
        <v>45836</v>
      </c>
      <c r="Q22" s="12"/>
      <c r="R22" s="17">
        <f>IF(X21="","",IF(MONTH(X21+1)&lt;&gt;MONTH(X21),"",X21+1))</f>
        <v>45858</v>
      </c>
      <c r="S22" s="17">
        <f>IF(R22="","",IF(MONTH(R22+1)&lt;&gt;MONTH(R22),"",R22+1))</f>
        <v>45859</v>
      </c>
      <c r="T22" s="17">
        <f t="shared" ref="T22:X22" si="26">IF(S22="","",IF(MONTH(S22+1)&lt;&gt;MONTH(S22),"",S22+1))</f>
        <v>45860</v>
      </c>
      <c r="U22" s="17">
        <f t="shared" si="26"/>
        <v>45861</v>
      </c>
      <c r="V22" s="17">
        <f t="shared" si="26"/>
        <v>45862</v>
      </c>
      <c r="W22" s="17">
        <f t="shared" si="26"/>
        <v>45863</v>
      </c>
      <c r="X22" s="17">
        <f t="shared" si="26"/>
        <v>45864</v>
      </c>
      <c r="Y22" s="12"/>
      <c r="Z22" s="17">
        <f>IF(AF21="","",IF(MONTH(AF21+1)&lt;&gt;MONTH(AF21),"",AF21+1))</f>
        <v>45886</v>
      </c>
      <c r="AA22" s="17">
        <f>IF(Z22="","",IF(MONTH(Z22+1)&lt;&gt;MONTH(Z22),"",Z22+1))</f>
        <v>45887</v>
      </c>
      <c r="AB22" s="17">
        <f t="shared" ref="AB22:AF22" si="27">IF(AA22="","",IF(MONTH(AA22+1)&lt;&gt;MONTH(AA22),"",AA22+1))</f>
        <v>45888</v>
      </c>
      <c r="AC22" s="17">
        <f t="shared" si="27"/>
        <v>45889</v>
      </c>
      <c r="AD22" s="17">
        <f t="shared" si="27"/>
        <v>45890</v>
      </c>
      <c r="AE22" s="17">
        <f t="shared" si="27"/>
        <v>45891</v>
      </c>
      <c r="AF22" s="17">
        <f t="shared" si="27"/>
        <v>45892</v>
      </c>
      <c r="AG22" s="12"/>
    </row>
    <row r="23" spans="2:35" s="13" customFormat="1" ht="18" customHeight="1" x14ac:dyDescent="0.2">
      <c r="B23" s="17">
        <f>IF(H22="","",IF(MONTH(H22+1)&lt;&gt;MONTH(H22),"",H22+1))</f>
        <v>45802</v>
      </c>
      <c r="C23" s="17">
        <f>IF(B23="","",IF(MONTH(B23+1)&lt;&gt;MONTH(B23),"",B23+1))</f>
        <v>45803</v>
      </c>
      <c r="D23" s="17">
        <f t="shared" ref="D23:H23" si="28">IF(C23="","",IF(MONTH(C23+1)&lt;&gt;MONTH(C23),"",C23+1))</f>
        <v>45804</v>
      </c>
      <c r="E23" s="17">
        <f t="shared" si="28"/>
        <v>45805</v>
      </c>
      <c r="F23" s="17">
        <f t="shared" si="28"/>
        <v>45806</v>
      </c>
      <c r="G23" s="17">
        <f t="shared" si="28"/>
        <v>45807</v>
      </c>
      <c r="H23" s="17">
        <f t="shared" si="28"/>
        <v>45808</v>
      </c>
      <c r="I23" s="12"/>
      <c r="J23" s="17">
        <f>IF(P22="","",IF(MONTH(P22+1)&lt;&gt;MONTH(P22),"",P22+1))</f>
        <v>45837</v>
      </c>
      <c r="K23" s="17">
        <f>IF(J23="","",IF(MONTH(J23+1)&lt;&gt;MONTH(J23),"",J23+1))</f>
        <v>45838</v>
      </c>
      <c r="L23" s="17" t="str">
        <f t="shared" ref="L23:P23" si="29">IF(K23="","",IF(MONTH(K23+1)&lt;&gt;MONTH(K23),"",K23+1))</f>
        <v/>
      </c>
      <c r="M23" s="17" t="str">
        <f t="shared" si="29"/>
        <v/>
      </c>
      <c r="N23" s="17" t="str">
        <f t="shared" si="29"/>
        <v/>
      </c>
      <c r="O23" s="17" t="str">
        <f t="shared" si="29"/>
        <v/>
      </c>
      <c r="P23" s="17" t="str">
        <f t="shared" si="29"/>
        <v/>
      </c>
      <c r="Q23" s="12"/>
      <c r="R23" s="17">
        <f>IF(X22="","",IF(MONTH(X22+1)&lt;&gt;MONTH(X22),"",X22+1))</f>
        <v>45865</v>
      </c>
      <c r="S23" s="17">
        <f>IF(R23="","",IF(MONTH(R23+1)&lt;&gt;MONTH(R23),"",R23+1))</f>
        <v>45866</v>
      </c>
      <c r="T23" s="17">
        <f t="shared" ref="T23:X23" si="30">IF(S23="","",IF(MONTH(S23+1)&lt;&gt;MONTH(S23),"",S23+1))</f>
        <v>45867</v>
      </c>
      <c r="U23" s="17">
        <f t="shared" si="30"/>
        <v>45868</v>
      </c>
      <c r="V23" s="17">
        <f t="shared" si="30"/>
        <v>45869</v>
      </c>
      <c r="W23" s="17" t="str">
        <f t="shared" si="30"/>
        <v/>
      </c>
      <c r="X23" s="17" t="str">
        <f t="shared" si="30"/>
        <v/>
      </c>
      <c r="Y23" s="12"/>
      <c r="Z23" s="17">
        <f>IF(AF22="","",IF(MONTH(AF22+1)&lt;&gt;MONTH(AF22),"",AF22+1))</f>
        <v>45893</v>
      </c>
      <c r="AA23" s="17">
        <f>IF(Z23="","",IF(MONTH(Z23+1)&lt;&gt;MONTH(Z23),"",Z23+1))</f>
        <v>45894</v>
      </c>
      <c r="AB23" s="17">
        <f t="shared" ref="AB23:AF23" si="31">IF(AA23="","",IF(MONTH(AA23+1)&lt;&gt;MONTH(AA23),"",AA23+1))</f>
        <v>45895</v>
      </c>
      <c r="AC23" s="17">
        <f t="shared" si="31"/>
        <v>45896</v>
      </c>
      <c r="AD23" s="17">
        <f t="shared" si="31"/>
        <v>45897</v>
      </c>
      <c r="AE23" s="17">
        <f t="shared" si="31"/>
        <v>45898</v>
      </c>
      <c r="AF23" s="17">
        <f t="shared" si="31"/>
        <v>45899</v>
      </c>
      <c r="AG23" s="12"/>
    </row>
    <row r="24" spans="2:35" s="13" customFormat="1" ht="18" customHeight="1" x14ac:dyDescent="0.2">
      <c r="B24" s="17" t="str">
        <f>IF(H23="","",IF(MONTH(H23+1)&lt;&gt;MONTH(H23),"",H23+1))</f>
        <v/>
      </c>
      <c r="C24" s="17" t="str">
        <f>IF(B24="","",IF(MONTH(B24+1)&lt;&gt;MONTH(B24),"",B24+1))</f>
        <v/>
      </c>
      <c r="D24" s="17" t="str">
        <f t="shared" ref="D24:H24" si="32">IF(C24="","",IF(MONTH(C24+1)&lt;&gt;MONTH(C24),"",C24+1))</f>
        <v/>
      </c>
      <c r="E24" s="17" t="str">
        <f t="shared" si="32"/>
        <v/>
      </c>
      <c r="F24" s="17" t="str">
        <f t="shared" si="32"/>
        <v/>
      </c>
      <c r="G24" s="17" t="str">
        <f t="shared" si="32"/>
        <v/>
      </c>
      <c r="H24" s="17" t="str">
        <f t="shared" si="32"/>
        <v/>
      </c>
      <c r="I24" s="12"/>
      <c r="J24" s="17" t="str">
        <f>IF(P23="","",IF(MONTH(P23+1)&lt;&gt;MONTH(P23),"",P23+1))</f>
        <v/>
      </c>
      <c r="K24" s="17" t="str">
        <f>IF(J24="","",IF(MONTH(J24+1)&lt;&gt;MONTH(J24),"",J24+1))</f>
        <v/>
      </c>
      <c r="L24" s="17" t="str">
        <f t="shared" ref="L24:P24" si="33">IF(K24="","",IF(MONTH(K24+1)&lt;&gt;MONTH(K24),"",K24+1))</f>
        <v/>
      </c>
      <c r="M24" s="17" t="str">
        <f t="shared" si="33"/>
        <v/>
      </c>
      <c r="N24" s="17" t="str">
        <f t="shared" si="33"/>
        <v/>
      </c>
      <c r="O24" s="17" t="str">
        <f t="shared" si="33"/>
        <v/>
      </c>
      <c r="P24" s="17" t="str">
        <f t="shared" si="33"/>
        <v/>
      </c>
      <c r="Q24" s="12"/>
      <c r="R24" s="17" t="str">
        <f>IF(X23="","",IF(MONTH(X23+1)&lt;&gt;MONTH(X23),"",X23+1))</f>
        <v/>
      </c>
      <c r="S24" s="17" t="str">
        <f>IF(R24="","",IF(MONTH(R24+1)&lt;&gt;MONTH(R24),"",R24+1))</f>
        <v/>
      </c>
      <c r="T24" s="17" t="str">
        <f t="shared" ref="T24:X24" si="34">IF(S24="","",IF(MONTH(S24+1)&lt;&gt;MONTH(S24),"",S24+1))</f>
        <v/>
      </c>
      <c r="U24" s="17" t="str">
        <f t="shared" si="34"/>
        <v/>
      </c>
      <c r="V24" s="17" t="str">
        <f t="shared" si="34"/>
        <v/>
      </c>
      <c r="W24" s="17" t="str">
        <f t="shared" si="34"/>
        <v/>
      </c>
      <c r="X24" s="17" t="str">
        <f t="shared" si="34"/>
        <v/>
      </c>
      <c r="Y24" s="12"/>
      <c r="Z24" s="17">
        <f>IF(AF23="","",IF(MONTH(AF23+1)&lt;&gt;MONTH(AF23),"",AF23+1))</f>
        <v>45900</v>
      </c>
      <c r="AA24" s="17" t="str">
        <f>IF(Z24="","",IF(MONTH(Z24+1)&lt;&gt;MONTH(Z24),"",Z24+1))</f>
        <v/>
      </c>
      <c r="AB24" s="17" t="str">
        <f t="shared" ref="AB24:AF24" si="35">IF(AA24="","",IF(MONTH(AA24+1)&lt;&gt;MONTH(AA24),"",AA24+1))</f>
        <v/>
      </c>
      <c r="AC24" s="17" t="str">
        <f t="shared" si="35"/>
        <v/>
      </c>
      <c r="AD24" s="17" t="str">
        <f t="shared" si="35"/>
        <v/>
      </c>
      <c r="AE24" s="17" t="str">
        <f t="shared" si="35"/>
        <v/>
      </c>
      <c r="AF24" s="17" t="str">
        <f t="shared" si="35"/>
        <v/>
      </c>
      <c r="AG24" s="12"/>
    </row>
    <row r="25" spans="2:35" ht="18" customHeigh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5" s="10" customFormat="1" ht="22.5" customHeight="1" x14ac:dyDescent="0.25">
      <c r="B26" s="37">
        <f>DATE(YEAR(Z17+42),MONTH(Z17+42),1)</f>
        <v>45901</v>
      </c>
      <c r="C26" s="38"/>
      <c r="D26" s="38"/>
      <c r="E26" s="38"/>
      <c r="F26" s="38"/>
      <c r="G26" s="38"/>
      <c r="H26" s="39"/>
      <c r="I26" s="11"/>
      <c r="J26" s="37">
        <f>DATE(YEAR(B26+42),MONTH(B26+42),1)</f>
        <v>45931</v>
      </c>
      <c r="K26" s="38"/>
      <c r="L26" s="38"/>
      <c r="M26" s="38"/>
      <c r="N26" s="38"/>
      <c r="O26" s="38"/>
      <c r="P26" s="39"/>
      <c r="Q26" s="11"/>
      <c r="R26" s="37">
        <f>DATE(YEAR(J26+42),MONTH(J26+42),1)</f>
        <v>45962</v>
      </c>
      <c r="S26" s="38"/>
      <c r="T26" s="38"/>
      <c r="U26" s="38"/>
      <c r="V26" s="38"/>
      <c r="W26" s="38"/>
      <c r="X26" s="39"/>
      <c r="Y26" s="11"/>
      <c r="Z26" s="37">
        <f>DATE(YEAR(R26+42),MONTH(R26+42),1)</f>
        <v>45992</v>
      </c>
      <c r="AA26" s="38"/>
      <c r="AB26" s="38"/>
      <c r="AC26" s="38"/>
      <c r="AD26" s="38"/>
      <c r="AE26" s="38"/>
      <c r="AF26" s="39"/>
      <c r="AG26" s="11"/>
      <c r="AI26" s="46" t="s">
        <v>7</v>
      </c>
    </row>
    <row r="27" spans="2:35" s="12" customFormat="1" ht="18" customHeight="1" x14ac:dyDescent="0.2">
      <c r="B27" s="14" t="str">
        <f>CHOOSE(1+MOD($R$3+1-2,7),"Su","M","Tu","W","Th","F","Sa")</f>
        <v>Su</v>
      </c>
      <c r="C27" s="15" t="str">
        <f>CHOOSE(1+MOD($R$3+2-2,7),"Su","M","Tu","W","Th","F","Sa")</f>
        <v>M</v>
      </c>
      <c r="D27" s="15" t="str">
        <f>CHOOSE(1+MOD($R$3+3-2,7),"Su","M","Tu","W","Th","F","Sa")</f>
        <v>Tu</v>
      </c>
      <c r="E27" s="15" t="str">
        <f>CHOOSE(1+MOD($R$3+4-2,7),"Su","M","Tu","W","Th","F","Sa")</f>
        <v>W</v>
      </c>
      <c r="F27" s="15" t="str">
        <f>CHOOSE(1+MOD($R$3+5-2,7),"Su","M","Tu","W","Th","F","Sa")</f>
        <v>Th</v>
      </c>
      <c r="G27" s="15" t="str">
        <f>CHOOSE(1+MOD($R$3+6-2,7),"Su","M","Tu","W","Th","F","Sa")</f>
        <v>F</v>
      </c>
      <c r="H27" s="16" t="str">
        <f>CHOOSE(1+MOD($R$3+7-2,7),"Su","M","Tu","W","Th","F","Sa")</f>
        <v>Sa</v>
      </c>
      <c r="J27" s="14" t="str">
        <f>CHOOSE(1+MOD($R$3+1-2,7),"Su","M","Tu","W","Th","F","Sa")</f>
        <v>Su</v>
      </c>
      <c r="K27" s="15" t="str">
        <f>CHOOSE(1+MOD($R$3+2-2,7),"Su","M","Tu","W","Th","F","Sa")</f>
        <v>M</v>
      </c>
      <c r="L27" s="15" t="str">
        <f>CHOOSE(1+MOD($R$3+3-2,7),"Su","M","Tu","W","Th","F","Sa")</f>
        <v>Tu</v>
      </c>
      <c r="M27" s="15" t="str">
        <f>CHOOSE(1+MOD($R$3+4-2,7),"Su","M","Tu","W","Th","F","Sa")</f>
        <v>W</v>
      </c>
      <c r="N27" s="15" t="str">
        <f>CHOOSE(1+MOD($R$3+5-2,7),"Su","M","Tu","W","Th","F","Sa")</f>
        <v>Th</v>
      </c>
      <c r="O27" s="15" t="str">
        <f>CHOOSE(1+MOD($R$3+6-2,7),"Su","M","Tu","W","Th","F","Sa")</f>
        <v>F</v>
      </c>
      <c r="P27" s="16" t="str">
        <f>CHOOSE(1+MOD($R$3+7-2,7),"Su","M","Tu","W","Th","F","Sa")</f>
        <v>Sa</v>
      </c>
      <c r="R27" s="14" t="str">
        <f>CHOOSE(1+MOD($R$3+1-2,7),"Su","M","Tu","W","Th","F","Sa")</f>
        <v>Su</v>
      </c>
      <c r="S27" s="15" t="str">
        <f>CHOOSE(1+MOD($R$3+2-2,7),"Su","M","Tu","W","Th","F","Sa")</f>
        <v>M</v>
      </c>
      <c r="T27" s="15" t="str">
        <f>CHOOSE(1+MOD($R$3+3-2,7),"Su","M","Tu","W","Th","F","Sa")</f>
        <v>Tu</v>
      </c>
      <c r="U27" s="15" t="str">
        <f>CHOOSE(1+MOD($R$3+4-2,7),"Su","M","Tu","W","Th","F","Sa")</f>
        <v>W</v>
      </c>
      <c r="V27" s="15" t="str">
        <f>CHOOSE(1+MOD($R$3+5-2,7),"Su","M","Tu","W","Th","F","Sa")</f>
        <v>Th</v>
      </c>
      <c r="W27" s="15" t="str">
        <f>CHOOSE(1+MOD($R$3+6-2,7),"Su","M","Tu","W","Th","F","Sa")</f>
        <v>F</v>
      </c>
      <c r="X27" s="16" t="str">
        <f>CHOOSE(1+MOD($R$3+7-2,7),"Su","M","Tu","W","Th","F","Sa")</f>
        <v>Sa</v>
      </c>
      <c r="Z27" s="14" t="str">
        <f>CHOOSE(1+MOD($R$3+1-2,7),"Su","M","Tu","W","Th","F","Sa")</f>
        <v>Su</v>
      </c>
      <c r="AA27" s="15" t="str">
        <f>CHOOSE(1+MOD($R$3+2-2,7),"Su","M","Tu","W","Th","F","Sa")</f>
        <v>M</v>
      </c>
      <c r="AB27" s="15" t="str">
        <f>CHOOSE(1+MOD($R$3+3-2,7),"Su","M","Tu","W","Th","F","Sa")</f>
        <v>Tu</v>
      </c>
      <c r="AC27" s="15" t="str">
        <f>CHOOSE(1+MOD($R$3+4-2,7),"Su","M","Tu","W","Th","F","Sa")</f>
        <v>W</v>
      </c>
      <c r="AD27" s="15" t="str">
        <f>CHOOSE(1+MOD($R$3+5-2,7),"Su","M","Tu","W","Th","F","Sa")</f>
        <v>Th</v>
      </c>
      <c r="AE27" s="15" t="str">
        <f>CHOOSE(1+MOD($R$3+6-2,7),"Su","M","Tu","W","Th","F","Sa")</f>
        <v>F</v>
      </c>
      <c r="AF27" s="16" t="str">
        <f>CHOOSE(1+MOD($R$3+7-2,7),"Su","M","Tu","W","Th","F","Sa")</f>
        <v>Sa</v>
      </c>
      <c r="AI27" s="46"/>
    </row>
    <row r="28" spans="2:35" s="13" customFormat="1" ht="18" customHeight="1" x14ac:dyDescent="0.2">
      <c r="B28" s="17" t="str">
        <f>IF(WEEKDAY(B26,1)=$R$3,B26,"")</f>
        <v/>
      </c>
      <c r="C28" s="17">
        <f>IF(B28="",IF(WEEKDAY(B26,1)=MOD($R$3,7)+1,B26,""),B28+1)</f>
        <v>45901</v>
      </c>
      <c r="D28" s="17">
        <f>IF(C28="",IF(WEEKDAY(B26,1)=MOD($R$3+1,7)+1,B26,""),C28+1)</f>
        <v>45902</v>
      </c>
      <c r="E28" s="17">
        <f>IF(D28="",IF(WEEKDAY(B26,1)=MOD($R$3+2,7)+1,B26,""),D28+1)</f>
        <v>45903</v>
      </c>
      <c r="F28" s="17">
        <f>IF(E28="",IF(WEEKDAY(B26,1)=MOD($R$3+3,7)+1,B26,""),E28+1)</f>
        <v>45904</v>
      </c>
      <c r="G28" s="17">
        <f>IF(F28="",IF(WEEKDAY(B26,1)=MOD($R$3+4,7)+1,B26,""),F28+1)</f>
        <v>45905</v>
      </c>
      <c r="H28" s="17">
        <f>IF(G28="",IF(WEEKDAY(B26,1)=MOD($R$3+5,7)+1,B26,""),G28+1)</f>
        <v>45906</v>
      </c>
      <c r="I28" s="12"/>
      <c r="J28" s="17" t="str">
        <f>IF(WEEKDAY(J26,1)=$R$3,J26,"")</f>
        <v/>
      </c>
      <c r="K28" s="17" t="str">
        <f>IF(J28="",IF(WEEKDAY(J26,1)=MOD($R$3,7)+1,J26,""),J28+1)</f>
        <v/>
      </c>
      <c r="L28" s="17" t="str">
        <f>IF(K28="",IF(WEEKDAY(J26,1)=MOD($R$3+1,7)+1,J26,""),K28+1)</f>
        <v/>
      </c>
      <c r="M28" s="17">
        <f>IF(L28="",IF(WEEKDAY(J26,1)=MOD($R$3+2,7)+1,J26,""),L28+1)</f>
        <v>45931</v>
      </c>
      <c r="N28" s="17">
        <f>IF(M28="",IF(WEEKDAY(J26,1)=MOD($R$3+3,7)+1,J26,""),M28+1)</f>
        <v>45932</v>
      </c>
      <c r="O28" s="17">
        <f>IF(N28="",IF(WEEKDAY(J26,1)=MOD($R$3+4,7)+1,J26,""),N28+1)</f>
        <v>45933</v>
      </c>
      <c r="P28" s="17">
        <f>IF(O28="",IF(WEEKDAY(J26,1)=MOD($R$3+5,7)+1,J26,""),O28+1)</f>
        <v>45934</v>
      </c>
      <c r="Q28" s="12"/>
      <c r="R28" s="17" t="str">
        <f>IF(WEEKDAY(R26,1)=$R$3,R26,"")</f>
        <v/>
      </c>
      <c r="S28" s="17" t="str">
        <f>IF(R28="",IF(WEEKDAY(R26,1)=MOD($R$3,7)+1,R26,""),R28+1)</f>
        <v/>
      </c>
      <c r="T28" s="17" t="str">
        <f>IF(S28="",IF(WEEKDAY(R26,1)=MOD($R$3+1,7)+1,R26,""),S28+1)</f>
        <v/>
      </c>
      <c r="U28" s="17" t="str">
        <f>IF(T28="",IF(WEEKDAY(R26,1)=MOD($R$3+2,7)+1,R26,""),T28+1)</f>
        <v/>
      </c>
      <c r="V28" s="17" t="str">
        <f>IF(U28="",IF(WEEKDAY(R26,1)=MOD($R$3+3,7)+1,R26,""),U28+1)</f>
        <v/>
      </c>
      <c r="W28" s="17" t="str">
        <f>IF(V28="",IF(WEEKDAY(R26,1)=MOD($R$3+4,7)+1,R26,""),V28+1)</f>
        <v/>
      </c>
      <c r="X28" s="17">
        <f>IF(W28="",IF(WEEKDAY(R26,1)=MOD($R$3+5,7)+1,R26,""),W28+1)</f>
        <v>45962</v>
      </c>
      <c r="Y28" s="12"/>
      <c r="Z28" s="17" t="str">
        <f>IF(WEEKDAY(Z26,1)=$R$3,Z26,"")</f>
        <v/>
      </c>
      <c r="AA28" s="17">
        <f>IF(Z28="",IF(WEEKDAY(Z26,1)=MOD($R$3,7)+1,Z26,""),Z28+1)</f>
        <v>45992</v>
      </c>
      <c r="AB28" s="17">
        <f>IF(AA28="",IF(WEEKDAY(Z26,1)=MOD($R$3+1,7)+1,Z26,""),AA28+1)</f>
        <v>45993</v>
      </c>
      <c r="AC28" s="17">
        <f>IF(AB28="",IF(WEEKDAY(Z26,1)=MOD($R$3+2,7)+1,Z26,""),AB28+1)</f>
        <v>45994</v>
      </c>
      <c r="AD28" s="17">
        <f>IF(AC28="",IF(WEEKDAY(Z26,1)=MOD($R$3+3,7)+1,Z26,""),AC28+1)</f>
        <v>45995</v>
      </c>
      <c r="AE28" s="17">
        <f>IF(AD28="",IF(WEEKDAY(Z26,1)=MOD($R$3+4,7)+1,Z26,""),AD28+1)</f>
        <v>45996</v>
      </c>
      <c r="AF28" s="17">
        <f>IF(AE28="",IF(WEEKDAY(Z26,1)=MOD($R$3+5,7)+1,Z26,""),AE28+1)</f>
        <v>45997</v>
      </c>
      <c r="AG28" s="12"/>
      <c r="AI28" s="46"/>
    </row>
    <row r="29" spans="2:35" s="13" customFormat="1" ht="18" customHeight="1" x14ac:dyDescent="0.2">
      <c r="B29" s="17">
        <f>IF(H28="","",IF(MONTH(H28+1)&lt;&gt;MONTH(H28),"",H28+1))</f>
        <v>45907</v>
      </c>
      <c r="C29" s="17">
        <f>IF(B29="","",IF(MONTH(B29+1)&lt;&gt;MONTH(B29),"",B29+1))</f>
        <v>45908</v>
      </c>
      <c r="D29" s="17">
        <f t="shared" ref="D29:H29" si="36">IF(C29="","",IF(MONTH(C29+1)&lt;&gt;MONTH(C29),"",C29+1))</f>
        <v>45909</v>
      </c>
      <c r="E29" s="17">
        <f t="shared" si="36"/>
        <v>45910</v>
      </c>
      <c r="F29" s="17">
        <f t="shared" si="36"/>
        <v>45911</v>
      </c>
      <c r="G29" s="17">
        <f t="shared" si="36"/>
        <v>45912</v>
      </c>
      <c r="H29" s="17">
        <f t="shared" si="36"/>
        <v>45913</v>
      </c>
      <c r="I29" s="12"/>
      <c r="J29" s="17">
        <f>IF(P28="","",IF(MONTH(P28+1)&lt;&gt;MONTH(P28),"",P28+1))</f>
        <v>45935</v>
      </c>
      <c r="K29" s="17">
        <f>IF(J29="","",IF(MONTH(J29+1)&lt;&gt;MONTH(J29),"",J29+1))</f>
        <v>45936</v>
      </c>
      <c r="L29" s="17">
        <f t="shared" ref="L29:P29" si="37">IF(K29="","",IF(MONTH(K29+1)&lt;&gt;MONTH(K29),"",K29+1))</f>
        <v>45937</v>
      </c>
      <c r="M29" s="17">
        <f t="shared" si="37"/>
        <v>45938</v>
      </c>
      <c r="N29" s="17">
        <f t="shared" si="37"/>
        <v>45939</v>
      </c>
      <c r="O29" s="17">
        <f t="shared" si="37"/>
        <v>45940</v>
      </c>
      <c r="P29" s="17">
        <f t="shared" si="37"/>
        <v>45941</v>
      </c>
      <c r="Q29" s="12"/>
      <c r="R29" s="17">
        <f>IF(X28="","",IF(MONTH(X28+1)&lt;&gt;MONTH(X28),"",X28+1))</f>
        <v>45963</v>
      </c>
      <c r="S29" s="17">
        <f>IF(R29="","",IF(MONTH(R29+1)&lt;&gt;MONTH(R29),"",R29+1))</f>
        <v>45964</v>
      </c>
      <c r="T29" s="17">
        <f t="shared" ref="T29:X29" si="38">IF(S29="","",IF(MONTH(S29+1)&lt;&gt;MONTH(S29),"",S29+1))</f>
        <v>45965</v>
      </c>
      <c r="U29" s="17">
        <f t="shared" si="38"/>
        <v>45966</v>
      </c>
      <c r="V29" s="17">
        <f t="shared" si="38"/>
        <v>45967</v>
      </c>
      <c r="W29" s="17">
        <f t="shared" si="38"/>
        <v>45968</v>
      </c>
      <c r="X29" s="17">
        <f t="shared" si="38"/>
        <v>45969</v>
      </c>
      <c r="Y29" s="12"/>
      <c r="Z29" s="17">
        <f>IF(AF28="","",IF(MONTH(AF28+1)&lt;&gt;MONTH(AF28),"",AF28+1))</f>
        <v>45998</v>
      </c>
      <c r="AA29" s="17">
        <f>IF(Z29="","",IF(MONTH(Z29+1)&lt;&gt;MONTH(Z29),"",Z29+1))</f>
        <v>45999</v>
      </c>
      <c r="AB29" s="17">
        <f t="shared" ref="AB29:AF29" si="39">IF(AA29="","",IF(MONTH(AA29+1)&lt;&gt;MONTH(AA29),"",AA29+1))</f>
        <v>46000</v>
      </c>
      <c r="AC29" s="17">
        <f t="shared" si="39"/>
        <v>46001</v>
      </c>
      <c r="AD29" s="17">
        <f t="shared" si="39"/>
        <v>46002</v>
      </c>
      <c r="AE29" s="17">
        <f t="shared" si="39"/>
        <v>46003</v>
      </c>
      <c r="AF29" s="17">
        <f t="shared" si="39"/>
        <v>46004</v>
      </c>
      <c r="AG29" s="12"/>
      <c r="AI29" s="46"/>
    </row>
    <row r="30" spans="2:35" s="13" customFormat="1" ht="18" customHeight="1" x14ac:dyDescent="0.2">
      <c r="B30" s="17">
        <f>IF(H29="","",IF(MONTH(H29+1)&lt;&gt;MONTH(H29),"",H29+1))</f>
        <v>45914</v>
      </c>
      <c r="C30" s="17">
        <f>IF(B30="","",IF(MONTH(B30+1)&lt;&gt;MONTH(B30),"",B30+1))</f>
        <v>45915</v>
      </c>
      <c r="D30" s="17">
        <f t="shared" ref="D30:H30" si="40">IF(C30="","",IF(MONTH(C30+1)&lt;&gt;MONTH(C30),"",C30+1))</f>
        <v>45916</v>
      </c>
      <c r="E30" s="17">
        <f t="shared" si="40"/>
        <v>45917</v>
      </c>
      <c r="F30" s="17">
        <f t="shared" si="40"/>
        <v>45918</v>
      </c>
      <c r="G30" s="17">
        <f t="shared" si="40"/>
        <v>45919</v>
      </c>
      <c r="H30" s="17">
        <f t="shared" si="40"/>
        <v>45920</v>
      </c>
      <c r="I30" s="12"/>
      <c r="J30" s="17">
        <f>IF(P29="","",IF(MONTH(P29+1)&lt;&gt;MONTH(P29),"",P29+1))</f>
        <v>45942</v>
      </c>
      <c r="K30" s="17">
        <f>IF(J30="","",IF(MONTH(J30+1)&lt;&gt;MONTH(J30),"",J30+1))</f>
        <v>45943</v>
      </c>
      <c r="L30" s="17">
        <f t="shared" ref="L30:P30" si="41">IF(K30="","",IF(MONTH(K30+1)&lt;&gt;MONTH(K30),"",K30+1))</f>
        <v>45944</v>
      </c>
      <c r="M30" s="17">
        <f t="shared" si="41"/>
        <v>45945</v>
      </c>
      <c r="N30" s="17">
        <f t="shared" si="41"/>
        <v>45946</v>
      </c>
      <c r="O30" s="17">
        <f t="shared" si="41"/>
        <v>45947</v>
      </c>
      <c r="P30" s="17">
        <f t="shared" si="41"/>
        <v>45948</v>
      </c>
      <c r="Q30" s="12"/>
      <c r="R30" s="17">
        <f>IF(X29="","",IF(MONTH(X29+1)&lt;&gt;MONTH(X29),"",X29+1))</f>
        <v>45970</v>
      </c>
      <c r="S30" s="17">
        <f>IF(R30="","",IF(MONTH(R30+1)&lt;&gt;MONTH(R30),"",R30+1))</f>
        <v>45971</v>
      </c>
      <c r="T30" s="17">
        <f t="shared" ref="T30:X30" si="42">IF(S30="","",IF(MONTH(S30+1)&lt;&gt;MONTH(S30),"",S30+1))</f>
        <v>45972</v>
      </c>
      <c r="U30" s="17">
        <f t="shared" si="42"/>
        <v>45973</v>
      </c>
      <c r="V30" s="17">
        <f t="shared" si="42"/>
        <v>45974</v>
      </c>
      <c r="W30" s="17">
        <f t="shared" si="42"/>
        <v>45975</v>
      </c>
      <c r="X30" s="17">
        <f t="shared" si="42"/>
        <v>45976</v>
      </c>
      <c r="Y30" s="12"/>
      <c r="Z30" s="17">
        <f>IF(AF29="","",IF(MONTH(AF29+1)&lt;&gt;MONTH(AF29),"",AF29+1))</f>
        <v>46005</v>
      </c>
      <c r="AA30" s="17">
        <f>IF(Z30="","",IF(MONTH(Z30+1)&lt;&gt;MONTH(Z30),"",Z30+1))</f>
        <v>46006</v>
      </c>
      <c r="AB30" s="17">
        <f t="shared" ref="AB30:AF30" si="43">IF(AA30="","",IF(MONTH(AA30+1)&lt;&gt;MONTH(AA30),"",AA30+1))</f>
        <v>46007</v>
      </c>
      <c r="AC30" s="17">
        <f t="shared" si="43"/>
        <v>46008</v>
      </c>
      <c r="AD30" s="17">
        <f t="shared" si="43"/>
        <v>46009</v>
      </c>
      <c r="AE30" s="17">
        <f t="shared" si="43"/>
        <v>46010</v>
      </c>
      <c r="AF30" s="17">
        <f t="shared" si="43"/>
        <v>46011</v>
      </c>
      <c r="AG30" s="12"/>
      <c r="AI30" s="46"/>
    </row>
    <row r="31" spans="2:35" s="13" customFormat="1" ht="18" customHeight="1" x14ac:dyDescent="0.2">
      <c r="B31" s="17">
        <f>IF(H30="","",IF(MONTH(H30+1)&lt;&gt;MONTH(H30),"",H30+1))</f>
        <v>45921</v>
      </c>
      <c r="C31" s="17">
        <f>IF(B31="","",IF(MONTH(B31+1)&lt;&gt;MONTH(B31),"",B31+1))</f>
        <v>45922</v>
      </c>
      <c r="D31" s="17">
        <f t="shared" ref="D31:H31" si="44">IF(C31="","",IF(MONTH(C31+1)&lt;&gt;MONTH(C31),"",C31+1))</f>
        <v>45923</v>
      </c>
      <c r="E31" s="17">
        <f t="shared" si="44"/>
        <v>45924</v>
      </c>
      <c r="F31" s="17">
        <f t="shared" si="44"/>
        <v>45925</v>
      </c>
      <c r="G31" s="17">
        <f t="shared" si="44"/>
        <v>45926</v>
      </c>
      <c r="H31" s="17">
        <f t="shared" si="44"/>
        <v>45927</v>
      </c>
      <c r="I31" s="12"/>
      <c r="J31" s="17">
        <f>IF(P30="","",IF(MONTH(P30+1)&lt;&gt;MONTH(P30),"",P30+1))</f>
        <v>45949</v>
      </c>
      <c r="K31" s="17">
        <f>IF(J31="","",IF(MONTH(J31+1)&lt;&gt;MONTH(J31),"",J31+1))</f>
        <v>45950</v>
      </c>
      <c r="L31" s="17">
        <f t="shared" ref="L31:P31" si="45">IF(K31="","",IF(MONTH(K31+1)&lt;&gt;MONTH(K31),"",K31+1))</f>
        <v>45951</v>
      </c>
      <c r="M31" s="17">
        <f t="shared" si="45"/>
        <v>45952</v>
      </c>
      <c r="N31" s="17">
        <f t="shared" si="45"/>
        <v>45953</v>
      </c>
      <c r="O31" s="17">
        <f t="shared" si="45"/>
        <v>45954</v>
      </c>
      <c r="P31" s="17">
        <f t="shared" si="45"/>
        <v>45955</v>
      </c>
      <c r="Q31" s="12"/>
      <c r="R31" s="17">
        <f>IF(X30="","",IF(MONTH(X30+1)&lt;&gt;MONTH(X30),"",X30+1))</f>
        <v>45977</v>
      </c>
      <c r="S31" s="17">
        <f>IF(R31="","",IF(MONTH(R31+1)&lt;&gt;MONTH(R31),"",R31+1))</f>
        <v>45978</v>
      </c>
      <c r="T31" s="17">
        <f t="shared" ref="T31:X31" si="46">IF(S31="","",IF(MONTH(S31+1)&lt;&gt;MONTH(S31),"",S31+1))</f>
        <v>45979</v>
      </c>
      <c r="U31" s="17">
        <f t="shared" si="46"/>
        <v>45980</v>
      </c>
      <c r="V31" s="17">
        <f t="shared" si="46"/>
        <v>45981</v>
      </c>
      <c r="W31" s="17">
        <f t="shared" si="46"/>
        <v>45982</v>
      </c>
      <c r="X31" s="17">
        <f t="shared" si="46"/>
        <v>45983</v>
      </c>
      <c r="Y31" s="12"/>
      <c r="Z31" s="17">
        <f>IF(AF30="","",IF(MONTH(AF30+1)&lt;&gt;MONTH(AF30),"",AF30+1))</f>
        <v>46012</v>
      </c>
      <c r="AA31" s="17">
        <f>IF(Z31="","",IF(MONTH(Z31+1)&lt;&gt;MONTH(Z31),"",Z31+1))</f>
        <v>46013</v>
      </c>
      <c r="AB31" s="17">
        <f t="shared" ref="AB31:AF31" si="47">IF(AA31="","",IF(MONTH(AA31+1)&lt;&gt;MONTH(AA31),"",AA31+1))</f>
        <v>46014</v>
      </c>
      <c r="AC31" s="17">
        <f t="shared" si="47"/>
        <v>46015</v>
      </c>
      <c r="AD31" s="17">
        <f t="shared" si="47"/>
        <v>46016</v>
      </c>
      <c r="AE31" s="17">
        <f t="shared" si="47"/>
        <v>46017</v>
      </c>
      <c r="AF31" s="17">
        <f t="shared" si="47"/>
        <v>46018</v>
      </c>
      <c r="AG31" s="12"/>
      <c r="AI31" s="46"/>
    </row>
    <row r="32" spans="2:35" s="13" customFormat="1" ht="18" customHeight="1" x14ac:dyDescent="0.2">
      <c r="B32" s="17">
        <f>IF(H31="","",IF(MONTH(H31+1)&lt;&gt;MONTH(H31),"",H31+1))</f>
        <v>45928</v>
      </c>
      <c r="C32" s="17">
        <f>IF(B32="","",IF(MONTH(B32+1)&lt;&gt;MONTH(B32),"",B32+1))</f>
        <v>45929</v>
      </c>
      <c r="D32" s="17">
        <f t="shared" ref="D32:H32" si="48">IF(C32="","",IF(MONTH(C32+1)&lt;&gt;MONTH(C32),"",C32+1))</f>
        <v>45930</v>
      </c>
      <c r="E32" s="17" t="str">
        <f t="shared" si="48"/>
        <v/>
      </c>
      <c r="F32" s="17" t="str">
        <f t="shared" si="48"/>
        <v/>
      </c>
      <c r="G32" s="17" t="str">
        <f t="shared" si="48"/>
        <v/>
      </c>
      <c r="H32" s="17" t="str">
        <f t="shared" si="48"/>
        <v/>
      </c>
      <c r="I32" s="12"/>
      <c r="J32" s="17">
        <f>IF(P31="","",IF(MONTH(P31+1)&lt;&gt;MONTH(P31),"",P31+1))</f>
        <v>45956</v>
      </c>
      <c r="K32" s="17">
        <f>IF(J32="","",IF(MONTH(J32+1)&lt;&gt;MONTH(J32),"",J32+1))</f>
        <v>45957</v>
      </c>
      <c r="L32" s="17">
        <f t="shared" ref="L32:P32" si="49">IF(K32="","",IF(MONTH(K32+1)&lt;&gt;MONTH(K32),"",K32+1))</f>
        <v>45958</v>
      </c>
      <c r="M32" s="17">
        <f t="shared" si="49"/>
        <v>45959</v>
      </c>
      <c r="N32" s="17">
        <f t="shared" si="49"/>
        <v>45960</v>
      </c>
      <c r="O32" s="17">
        <f t="shared" si="49"/>
        <v>45961</v>
      </c>
      <c r="P32" s="17" t="str">
        <f t="shared" si="49"/>
        <v/>
      </c>
      <c r="Q32" s="12"/>
      <c r="R32" s="17">
        <f>IF(X31="","",IF(MONTH(X31+1)&lt;&gt;MONTH(X31),"",X31+1))</f>
        <v>45984</v>
      </c>
      <c r="S32" s="17">
        <f>IF(R32="","",IF(MONTH(R32+1)&lt;&gt;MONTH(R32),"",R32+1))</f>
        <v>45985</v>
      </c>
      <c r="T32" s="17">
        <f t="shared" ref="T32:X32" si="50">IF(S32="","",IF(MONTH(S32+1)&lt;&gt;MONTH(S32),"",S32+1))</f>
        <v>45986</v>
      </c>
      <c r="U32" s="17">
        <f t="shared" si="50"/>
        <v>45987</v>
      </c>
      <c r="V32" s="17">
        <f t="shared" si="50"/>
        <v>45988</v>
      </c>
      <c r="W32" s="17">
        <f t="shared" si="50"/>
        <v>45989</v>
      </c>
      <c r="X32" s="17">
        <f t="shared" si="50"/>
        <v>45990</v>
      </c>
      <c r="Y32" s="32" t="s">
        <v>19</v>
      </c>
      <c r="Z32" s="17">
        <f>IF(AF31="","",IF(MONTH(AF31+1)&lt;&gt;MONTH(AF31),"",AF31+1))</f>
        <v>46019</v>
      </c>
      <c r="AA32" s="17">
        <f>IF(Z32="","",IF(MONTH(Z32+1)&lt;&gt;MONTH(Z32),"",Z32+1))</f>
        <v>46020</v>
      </c>
      <c r="AB32" s="17">
        <f t="shared" ref="AB32:AF32" si="51">IF(AA32="","",IF(MONTH(AA32+1)&lt;&gt;MONTH(AA32),"",AA32+1))</f>
        <v>46021</v>
      </c>
      <c r="AC32" s="17">
        <f t="shared" si="51"/>
        <v>46022</v>
      </c>
      <c r="AD32" s="17" t="str">
        <f t="shared" si="51"/>
        <v/>
      </c>
      <c r="AE32" s="17" t="str">
        <f t="shared" si="51"/>
        <v/>
      </c>
      <c r="AF32" s="17" t="str">
        <f t="shared" si="51"/>
        <v/>
      </c>
      <c r="AG32" s="12"/>
      <c r="AI32" s="46"/>
    </row>
    <row r="33" spans="2:35" s="13" customFormat="1" ht="18" customHeight="1" x14ac:dyDescent="0.2">
      <c r="B33" s="17" t="str">
        <f>IF(H32="","",IF(MONTH(H32+1)&lt;&gt;MONTH(H32),"",H32+1))</f>
        <v/>
      </c>
      <c r="C33" s="17" t="str">
        <f>IF(B33="","",IF(MONTH(B33+1)&lt;&gt;MONTH(B33),"",B33+1))</f>
        <v/>
      </c>
      <c r="D33" s="17" t="str">
        <f t="shared" ref="D33:H33" si="52">IF(C33="","",IF(MONTH(C33+1)&lt;&gt;MONTH(C33),"",C33+1))</f>
        <v/>
      </c>
      <c r="E33" s="17" t="str">
        <f t="shared" si="52"/>
        <v/>
      </c>
      <c r="F33" s="17" t="str">
        <f t="shared" si="52"/>
        <v/>
      </c>
      <c r="G33" s="17" t="str">
        <f t="shared" si="52"/>
        <v/>
      </c>
      <c r="H33" s="17" t="str">
        <f t="shared" si="52"/>
        <v/>
      </c>
      <c r="I33" s="12"/>
      <c r="J33" s="17" t="str">
        <f>IF(P32="","",IF(MONTH(P32+1)&lt;&gt;MONTH(P32),"",P32+1))</f>
        <v/>
      </c>
      <c r="K33" s="17" t="str">
        <f>IF(J33="","",IF(MONTH(J33+1)&lt;&gt;MONTH(J33),"",J33+1))</f>
        <v/>
      </c>
      <c r="L33" s="17" t="str">
        <f t="shared" ref="L33:P33" si="53">IF(K33="","",IF(MONTH(K33+1)&lt;&gt;MONTH(K33),"",K33+1))</f>
        <v/>
      </c>
      <c r="M33" s="17" t="str">
        <f t="shared" si="53"/>
        <v/>
      </c>
      <c r="N33" s="17" t="str">
        <f t="shared" si="53"/>
        <v/>
      </c>
      <c r="O33" s="17" t="str">
        <f t="shared" si="53"/>
        <v/>
      </c>
      <c r="P33" s="17" t="str">
        <f t="shared" si="53"/>
        <v/>
      </c>
      <c r="Q33" s="12"/>
      <c r="R33" s="17">
        <f>IF(X32="","",IF(MONTH(X32+1)&lt;&gt;MONTH(X32),"",X32+1))</f>
        <v>45991</v>
      </c>
      <c r="S33" s="17" t="str">
        <f>IF(R33="","",IF(MONTH(R33+1)&lt;&gt;MONTH(R33),"",R33+1))</f>
        <v/>
      </c>
      <c r="T33" s="17" t="str">
        <f t="shared" ref="T33:X33" si="54">IF(S33="","",IF(MONTH(S33+1)&lt;&gt;MONTH(S33),"",S33+1))</f>
        <v/>
      </c>
      <c r="U33" s="17" t="str">
        <f t="shared" si="54"/>
        <v/>
      </c>
      <c r="V33" s="17" t="str">
        <f t="shared" si="54"/>
        <v/>
      </c>
      <c r="W33" s="17" t="str">
        <f t="shared" si="54"/>
        <v/>
      </c>
      <c r="X33" s="17" t="str">
        <f t="shared" si="54"/>
        <v/>
      </c>
      <c r="Y33" s="12"/>
      <c r="Z33" s="17" t="str">
        <f>IF(AF32="","",IF(MONTH(AF32+1)&lt;&gt;MONTH(AF32),"",AF32+1))</f>
        <v/>
      </c>
      <c r="AA33" s="17" t="str">
        <f>IF(Z33="","",IF(MONTH(Z33+1)&lt;&gt;MONTH(Z33),"",Z33+1))</f>
        <v/>
      </c>
      <c r="AB33" s="17" t="str">
        <f t="shared" ref="AB33:AF33" si="55">IF(AA33="","",IF(MONTH(AA33+1)&lt;&gt;MONTH(AA33),"",AA33+1))</f>
        <v/>
      </c>
      <c r="AC33" s="17" t="str">
        <f t="shared" si="55"/>
        <v/>
      </c>
      <c r="AD33" s="17" t="str">
        <f t="shared" si="55"/>
        <v/>
      </c>
      <c r="AE33" s="17" t="str">
        <f t="shared" si="55"/>
        <v/>
      </c>
      <c r="AF33" s="17" t="str">
        <f t="shared" si="55"/>
        <v/>
      </c>
      <c r="AG33" s="12"/>
      <c r="AI33" s="46"/>
    </row>
    <row r="34" spans="2:35" ht="12" customHeight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5" ht="12" customHeight="1" x14ac:dyDescent="0.2">
      <c r="B35" s="33" t="s">
        <v>18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Y35" s="8"/>
      <c r="Z35" s="8"/>
      <c r="AA35" s="8"/>
      <c r="AB35" s="8"/>
      <c r="AC35" s="8"/>
      <c r="AD35" s="8"/>
      <c r="AE35" s="8"/>
      <c r="AF35" s="34" t="s">
        <v>21</v>
      </c>
      <c r="AG35" s="8"/>
    </row>
    <row r="36" spans="2:35" s="8" customFormat="1" ht="15" customHeight="1" x14ac:dyDescent="0.2"/>
    <row r="37" spans="2:35" ht="13.5" customHeight="1" x14ac:dyDescent="0.2">
      <c r="I37" s="8"/>
      <c r="Q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5" ht="13.5" customHeight="1" x14ac:dyDescent="0.2">
      <c r="I38" s="8"/>
      <c r="Q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5" ht="13.5" customHeight="1" x14ac:dyDescent="0.2">
      <c r="I39" s="8"/>
      <c r="Q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5" ht="13.5" customHeight="1" x14ac:dyDescent="0.2">
      <c r="I40" s="8"/>
      <c r="Q40" s="8"/>
      <c r="Y40" s="8"/>
      <c r="Z40" s="8"/>
      <c r="AA40" s="8"/>
      <c r="AB40" s="8"/>
      <c r="AC40" s="8"/>
      <c r="AD40" s="8"/>
      <c r="AE40" s="8"/>
      <c r="AF40" s="8"/>
      <c r="AG40" s="8"/>
    </row>
    <row r="41" spans="2:35" ht="13.5" customHeight="1" x14ac:dyDescent="0.2">
      <c r="I41" s="8"/>
      <c r="Q41" s="8"/>
      <c r="Y41" s="8"/>
      <c r="Z41" s="8"/>
      <c r="AA41" s="8"/>
      <c r="AB41" s="8"/>
      <c r="AC41" s="8"/>
      <c r="AD41" s="8"/>
      <c r="AE41" s="8"/>
      <c r="AF41" s="8"/>
      <c r="AG41" s="8"/>
    </row>
    <row r="42" spans="2:35" ht="13.5" customHeight="1" x14ac:dyDescent="0.2">
      <c r="I42" s="8"/>
      <c r="Q42" s="8"/>
      <c r="Y42" s="8"/>
      <c r="Z42" s="8"/>
      <c r="AA42" s="8"/>
      <c r="AB42" s="8"/>
      <c r="AC42" s="8"/>
      <c r="AD42" s="8"/>
      <c r="AE42" s="8"/>
      <c r="AF42" s="8"/>
      <c r="AG42" s="8"/>
    </row>
  </sheetData>
  <mergeCells count="20">
    <mergeCell ref="AI9:AI14"/>
    <mergeCell ref="AI26:AI33"/>
    <mergeCell ref="B26:H26"/>
    <mergeCell ref="J26:P26"/>
    <mergeCell ref="R26:X26"/>
    <mergeCell ref="Z26:AF26"/>
    <mergeCell ref="B17:H17"/>
    <mergeCell ref="J17:P17"/>
    <mergeCell ref="R17:X17"/>
    <mergeCell ref="Z17:AF17"/>
    <mergeCell ref="B8:H8"/>
    <mergeCell ref="J8:P8"/>
    <mergeCell ref="R8:X8"/>
    <mergeCell ref="Z8:AF8"/>
    <mergeCell ref="R1:X1"/>
    <mergeCell ref="D3:F3"/>
    <mergeCell ref="J3:L3"/>
    <mergeCell ref="B6:P6"/>
    <mergeCell ref="R6:AF6"/>
    <mergeCell ref="R3:S3"/>
  </mergeCells>
  <conditionalFormatting sqref="B8 J8 R8 Z8 B17 J17 R17 Z17 B26 J26 R26 Z26">
    <cfRule type="expression" dxfId="2" priority="1">
      <formula>$J$3=1</formula>
    </cfRule>
  </conditionalFormatting>
  <conditionalFormatting sqref="B10:H15 J10:P15 R10:X15 Z10:AF15 B19:H24 J19:P24 R19:X24 Z19:AF24 B28:H33 J28:P33 R28:X33 Z28:AF33">
    <cfRule type="cellIs" dxfId="1" priority="2" operator="equal">
      <formula>""</formula>
    </cfRule>
    <cfRule type="expression" dxfId="0" priority="3">
      <formula>OR(WEEKDAY(B10,1)=1,WEEKDAY(B10,1)=7)</formula>
    </cfRule>
  </conditionalFormatting>
  <hyperlinks>
    <hyperlink ref="R1" r:id="rId1" xr:uid="{F50EDA2F-F21F-4D49-B908-69ED726C3772}"/>
    <hyperlink ref="R1:X1" r:id="rId2" display="More Yearly Calendars" xr:uid="{237DF5A5-9C4C-473C-9B1E-4B101E137C2F}"/>
    <hyperlink ref="B35" r:id="rId3" xr:uid="{BEDD8F6D-B655-4DCA-ABDB-92D6C567B826}"/>
    <hyperlink ref="AI18" r:id="rId4" xr:uid="{90435277-AF05-41EC-AAD9-F216E15FD673}"/>
    <hyperlink ref="AI19" r:id="rId5" xr:uid="{15BE86AB-FB85-47AF-8D34-516382EEA882}"/>
    <hyperlink ref="AI20" r:id="rId6" xr:uid="{CEA705EA-8C1E-47B1-915C-A09EBE8A1BAF}"/>
  </hyperlinks>
  <printOptions horizontalCentered="1"/>
  <pageMargins left="0.35" right="0.35" top="0.4" bottom="0.35" header="0.25" footer="0.25"/>
  <pageSetup orientation="landscape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E3E7-F489-4B46-8F89-54BFC2714FA6}">
  <dimension ref="A1:C19"/>
  <sheetViews>
    <sheetView showGridLines="0" workbookViewId="0"/>
  </sheetViews>
  <sheetFormatPr defaultRowHeight="12.75" x14ac:dyDescent="0.2"/>
  <cols>
    <col min="1" max="1" width="2.85546875" style="31" customWidth="1"/>
    <col min="2" max="2" width="71.5703125" style="31" customWidth="1"/>
    <col min="3" max="3" width="22.28515625" customWidth="1"/>
  </cols>
  <sheetData>
    <row r="1" spans="1:3" ht="32.1" customHeight="1" x14ac:dyDescent="0.2">
      <c r="A1" s="19"/>
      <c r="B1" s="20" t="s">
        <v>3</v>
      </c>
      <c r="C1" s="21"/>
    </row>
    <row r="2" spans="1:3" ht="15" x14ac:dyDescent="0.2">
      <c r="A2" s="22"/>
      <c r="B2" s="23"/>
      <c r="C2" s="24"/>
    </row>
    <row r="3" spans="1:3" ht="15" x14ac:dyDescent="0.2">
      <c r="A3" s="22"/>
      <c r="B3" s="25" t="s">
        <v>10</v>
      </c>
      <c r="C3" s="24"/>
    </row>
    <row r="4" spans="1:3" ht="14.25" x14ac:dyDescent="0.2">
      <c r="A4" s="22"/>
      <c r="B4" s="18" t="s">
        <v>18</v>
      </c>
      <c r="C4" s="24"/>
    </row>
    <row r="5" spans="1:3" ht="15" x14ac:dyDescent="0.2">
      <c r="A5" s="22"/>
      <c r="B5" s="26"/>
      <c r="C5" s="24"/>
    </row>
    <row r="6" spans="1:3" ht="15.75" x14ac:dyDescent="0.25">
      <c r="A6" s="22"/>
      <c r="B6" s="27" t="s">
        <v>11</v>
      </c>
      <c r="C6" s="24"/>
    </row>
    <row r="7" spans="1:3" ht="15" x14ac:dyDescent="0.2">
      <c r="A7" s="22"/>
      <c r="B7" s="26"/>
      <c r="C7" s="24"/>
    </row>
    <row r="8" spans="1:3" ht="30" x14ac:dyDescent="0.2">
      <c r="A8" s="22"/>
      <c r="B8" s="26" t="s">
        <v>12</v>
      </c>
      <c r="C8" s="24"/>
    </row>
    <row r="9" spans="1:3" ht="15" x14ac:dyDescent="0.2">
      <c r="A9" s="22"/>
      <c r="B9" s="26"/>
      <c r="C9" s="24"/>
    </row>
    <row r="10" spans="1:3" ht="30" x14ac:dyDescent="0.2">
      <c r="A10" s="22"/>
      <c r="B10" s="26" t="s">
        <v>13</v>
      </c>
      <c r="C10" s="24"/>
    </row>
    <row r="11" spans="1:3" ht="15" x14ac:dyDescent="0.2">
      <c r="A11" s="22"/>
      <c r="B11" s="26"/>
      <c r="C11" s="24"/>
    </row>
    <row r="12" spans="1:3" ht="30" x14ac:dyDescent="0.2">
      <c r="A12" s="22"/>
      <c r="B12" s="26" t="s">
        <v>14</v>
      </c>
      <c r="C12" s="24"/>
    </row>
    <row r="13" spans="1:3" ht="15" x14ac:dyDescent="0.2">
      <c r="A13" s="22"/>
      <c r="B13" s="26"/>
      <c r="C13" s="24"/>
    </row>
    <row r="14" spans="1:3" ht="15.75" x14ac:dyDescent="0.25">
      <c r="A14" s="22"/>
      <c r="B14" s="27" t="s">
        <v>15</v>
      </c>
      <c r="C14" s="24"/>
    </row>
    <row r="15" spans="1:3" ht="15" x14ac:dyDescent="0.2">
      <c r="A15" s="22"/>
      <c r="B15" s="28" t="s">
        <v>16</v>
      </c>
      <c r="C15" s="24"/>
    </row>
    <row r="16" spans="1:3" ht="15" x14ac:dyDescent="0.2">
      <c r="A16" s="22"/>
      <c r="B16" s="29"/>
      <c r="C16" s="24"/>
    </row>
    <row r="17" spans="1:3" ht="15" x14ac:dyDescent="0.2">
      <c r="A17" s="22"/>
      <c r="B17" s="30" t="s">
        <v>17</v>
      </c>
      <c r="C17" s="24"/>
    </row>
    <row r="18" spans="1:3" ht="14.25" x14ac:dyDescent="0.2">
      <c r="A18" s="22"/>
      <c r="B18" s="22"/>
      <c r="C18" s="24"/>
    </row>
    <row r="19" spans="1:3" ht="14.25" x14ac:dyDescent="0.2">
      <c r="A19" s="22"/>
      <c r="B19" s="22"/>
      <c r="C19" s="24"/>
    </row>
  </sheetData>
  <hyperlinks>
    <hyperlink ref="B15" r:id="rId1" xr:uid="{F7B6782F-8616-4728-9134-D6E80773CD74}"/>
    <hyperlink ref="B4" r:id="rId2" xr:uid="{F6B6676C-B988-4E25-91AB-CCBD53D6B0CD}"/>
  </hyperlinks>
  <pageMargins left="0.7" right="0.7" top="0.75" bottom="0.75" header="0.3" footer="0.3"/>
  <pageSetup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Calendar</vt:lpstr>
      <vt:lpstr>©</vt:lpstr>
      <vt:lpstr>Calendar!Print_Area</vt:lpstr>
    </vt:vector>
  </TitlesOfParts>
  <Company>Vertex42.com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Yearly Calendar Template - Landscape</dc:title>
  <dc:creator>Vertex42.com</dc:creator>
  <dc:description>(c) 2013-2019 Vertex42 LLC. All rights reserved. Free to Print.</dc:description>
  <cp:lastModifiedBy>Dr. Michael Reno</cp:lastModifiedBy>
  <cp:lastPrinted>2026-02-09T22:15:20Z</cp:lastPrinted>
  <dcterms:created xsi:type="dcterms:W3CDTF">2008-12-11T21:42:43Z</dcterms:created>
  <dcterms:modified xsi:type="dcterms:W3CDTF">2026-02-09T22:15:26Z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2013-2019 Vertex42 LLC</vt:lpwstr>
  </property>
  <property fmtid="{D5CDD505-2E9C-101B-9397-08002B2CF9AE}" pid="3" name="Version">
    <vt:lpwstr>1.1.2</vt:lpwstr>
  </property>
  <property fmtid="{D5CDD505-2E9C-101B-9397-08002B2CF9AE}" pid="4" name="Source">
    <vt:lpwstr>https://www.vertex42.com/ExcelTemplates/yearly-calendar.html</vt:lpwstr>
  </property>
</Properties>
</file>